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860"/>
  </bookViews>
  <sheets>
    <sheet name="data" sheetId="1" r:id="rId1"/>
    <sheet name="map" sheetId="2" r:id="rId2"/>
    <sheet name="数据实例" sheetId="6" r:id="rId3"/>
    <sheet name="Sheet1" sheetId="7" r:id="rId4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44525"/>
</workbook>
</file>

<file path=xl/sharedStrings.xml><?xml version="1.0" encoding="utf-8"?>
<sst xmlns="http://schemas.openxmlformats.org/spreadsheetml/2006/main" count="147" uniqueCount="77">
  <si>
    <t>参考</t>
  </si>
  <si>
    <t>0</t>
  </si>
  <si>
    <t>最小值</t>
  </si>
  <si>
    <t>0.0</t>
  </si>
  <si>
    <t>下四分位数</t>
  </si>
  <si>
    <t>0.00</t>
  </si>
  <si>
    <t>中位数</t>
  </si>
  <si>
    <t>0%</t>
  </si>
  <si>
    <t>上四分位数</t>
  </si>
  <si>
    <t>0.0%</t>
  </si>
  <si>
    <t>最大值</t>
  </si>
  <si>
    <t>0.00%</t>
  </si>
  <si>
    <t>使用步骤：</t>
  </si>
  <si>
    <t>❶填入数据</t>
  </si>
  <si>
    <t>❷设置分档</t>
  </si>
  <si>
    <t>选择配色</t>
  </si>
  <si>
    <t>❸填色</t>
  </si>
  <si>
    <r>
      <rPr>
        <sz val="10"/>
        <color theme="1"/>
        <rFont val="宋体"/>
        <charset val="134"/>
      </rPr>
      <t>可选配色方案，来自</t>
    </r>
    <r>
      <rPr>
        <sz val="10"/>
        <color theme="1"/>
        <rFont val="Arial"/>
        <charset val="134"/>
      </rPr>
      <t xml:space="preserve"> ColorBrewer2</t>
    </r>
  </si>
  <si>
    <t>省份</t>
  </si>
  <si>
    <t>指标</t>
  </si>
  <si>
    <t>颜色</t>
  </si>
  <si>
    <t>标签</t>
  </si>
  <si>
    <t>阈值</t>
  </si>
  <si>
    <t>图例</t>
  </si>
  <si>
    <t>北京</t>
  </si>
  <si>
    <t>color1</t>
  </si>
  <si>
    <t>天津</t>
  </si>
  <si>
    <t>color2</t>
  </si>
  <si>
    <t>河北</t>
  </si>
  <si>
    <t>color3</t>
  </si>
  <si>
    <t>山西</t>
  </si>
  <si>
    <t>color4</t>
  </si>
  <si>
    <t>内蒙古</t>
  </si>
  <si>
    <t>color5</t>
  </si>
  <si>
    <t>辽宁</t>
  </si>
  <si>
    <t>吉林</t>
  </si>
  <si>
    <t>黑龙江</t>
  </si>
  <si>
    <t>上海</t>
  </si>
  <si>
    <t>江苏</t>
  </si>
  <si>
    <t>浙江</t>
  </si>
  <si>
    <t>安徽</t>
  </si>
  <si>
    <t>5档、单色渐变，反映数据从小到大</t>
  </si>
  <si>
    <t>5档、双色渐变，从负到正</t>
  </si>
  <si>
    <t>5档、离散类别</t>
  </si>
  <si>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档、双色渐变</t>
    </r>
  </si>
  <si>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档、单色渐变</t>
    </r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</si>
  <si>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</si>
  <si>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</si>
  <si>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</si>
  <si>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</si>
  <si>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</si>
  <si>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</si>
  <si>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</si>
  <si>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</si>
  <si>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</si>
  <si>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</si>
  <si>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</si>
  <si>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</si>
  <si>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</si>
  <si>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</si>
  <si>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</si>
  <si>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</si>
  <si>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</si>
  <si>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</si>
  <si>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</si>
  <si>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</si>
  <si>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</si>
  <si>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</si>
  <si>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总数</t>
  </si>
  <si>
    <r>
      <rPr>
        <sz val="10"/>
        <color theme="1"/>
        <rFont val="Arial"/>
        <charset val="134"/>
      </rPr>
      <t>1955</t>
    </r>
    <r>
      <rPr>
        <sz val="10"/>
        <color theme="1"/>
        <rFont val="宋体"/>
        <charset val="134"/>
      </rPr>
      <t>至</t>
    </r>
    <r>
      <rPr>
        <sz val="10"/>
        <color theme="1"/>
        <rFont val="Arial"/>
        <charset val="134"/>
      </rPr>
      <t>2019</t>
    </r>
    <r>
      <rPr>
        <sz val="10"/>
        <color theme="1"/>
        <rFont val="宋体"/>
        <charset val="134"/>
      </rPr>
      <t>年两院（中国科学院和中国工程院）院士籍贯分布（未统计香港澳门）</t>
    </r>
  </si>
  <si>
    <t>复制黄色的这一列即可</t>
  </si>
  <si>
    <t>没有找到的用0代替</t>
  </si>
  <si>
    <t>[0 ,0.24)</t>
  </si>
  <si>
    <t>[0.24 ,0.49)</t>
  </si>
  <si>
    <t>[0 ,1)</t>
  </si>
  <si>
    <t>[1 ,31)</t>
  </si>
  <si>
    <t xml:space="preserve">[31 , 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</si>
</sst>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36">
    <font>
      <sz val="10"/>
      <color theme="1"/>
      <name val="Arial"/>
      <charset val="134"/>
    </font>
    <font>
      <sz val="10"/>
      <name val="Arial"/>
      <charset val="134"/>
    </font>
    <font>
      <b/>
      <sz val="10"/>
      <color theme="1"/>
      <name val="宋体"/>
      <charset val="134"/>
    </font>
    <font>
      <sz val="10"/>
      <color rgb="FFFF0000"/>
      <name val="宋体"/>
      <charset val="134"/>
    </font>
    <font>
      <sz val="10"/>
      <name val="微软雅黑"/>
      <charset val="134"/>
    </font>
    <font>
      <sz val="10"/>
      <name val="SimHei"/>
      <charset val="134"/>
    </font>
    <font>
      <sz val="10"/>
      <color theme="1"/>
      <name val="微软雅黑"/>
      <charset val="134"/>
    </font>
    <font>
      <sz val="10"/>
      <color theme="1"/>
      <name val="宋体"/>
      <charset val="134"/>
    </font>
    <font>
      <b/>
      <sz val="10"/>
      <color theme="0" tint="-0.149998474074526"/>
      <name val="宋体"/>
      <charset val="134"/>
    </font>
    <font>
      <sz val="10"/>
      <color theme="0" tint="-0.149998474074526"/>
      <name val="Arial"/>
      <charset val="134"/>
    </font>
    <font>
      <sz val="10"/>
      <color rgb="FFFF0000"/>
      <name val="Arial"/>
      <charset val="134"/>
    </font>
    <font>
      <sz val="8"/>
      <color theme="1"/>
      <name val="Arial"/>
      <charset val="134"/>
    </font>
    <font>
      <b/>
      <sz val="10"/>
      <color theme="1"/>
      <name val="Arial"/>
      <charset val="134"/>
    </font>
    <font>
      <u/>
      <sz val="10"/>
      <color theme="10"/>
      <name val="Arial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10"/>
      <color theme="0" tint="-0.249977111117893"/>
      <name val="Arial"/>
      <charset val="134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22">
    <fill>
      <patternFill patternType="none"/>
    </fill>
    <fill>
      <patternFill patternType="gray125"/>
    </fill>
    <fill>
      <patternFill patternType="solid">
        <fgColor rgb="FFFEF0D9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theme="1" tint="0.349986266670736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theme="1" tint="0.149998474074526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2">
    <xf numFmtId="0" fontId="0" fillId="0" borderId="0">
      <alignment vertical="center"/>
    </xf>
    <xf numFmtId="42" fontId="19" fillId="0" borderId="0" applyFont="0" applyFill="0" applyBorder="0" applyAlignment="0" applyProtection="0">
      <alignment vertical="center"/>
    </xf>
    <xf numFmtId="0" fontId="21" fillId="136" borderId="0" applyNumberFormat="0" applyBorder="0" applyAlignment="0" applyProtection="0">
      <alignment vertical="center"/>
    </xf>
    <xf numFmtId="0" fontId="28" fillId="307" borderId="8" applyNumberFormat="0" applyAlignment="0" applyProtection="0">
      <alignment vertical="center"/>
    </xf>
    <xf numFmtId="44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0" fontId="21" fillId="300" borderId="0" applyNumberFormat="0" applyBorder="0" applyAlignment="0" applyProtection="0">
      <alignment vertical="center"/>
    </xf>
    <xf numFmtId="0" fontId="24" fillId="301" borderId="0" applyNumberFormat="0" applyBorder="0" applyAlignment="0" applyProtection="0">
      <alignment vertical="center"/>
    </xf>
    <xf numFmtId="43" fontId="19" fillId="0" borderId="0" applyFont="0" applyFill="0" applyBorder="0" applyAlignment="0" applyProtection="0">
      <alignment vertical="center"/>
    </xf>
    <xf numFmtId="0" fontId="20" fillId="30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15" borderId="13" applyNumberFormat="0" applyFont="0" applyAlignment="0" applyProtection="0">
      <alignment vertical="center"/>
    </xf>
    <xf numFmtId="0" fontId="20" fillId="30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2" fillId="0" borderId="12" applyNumberFormat="0" applyFill="0" applyAlignment="0" applyProtection="0">
      <alignment vertical="center"/>
    </xf>
    <xf numFmtId="0" fontId="20" fillId="305" borderId="0" applyNumberFormat="0" applyBorder="0" applyAlignment="0" applyProtection="0">
      <alignment vertical="center"/>
    </xf>
    <xf numFmtId="0" fontId="18" fillId="0" borderId="15" applyNumberFormat="0" applyFill="0" applyAlignment="0" applyProtection="0">
      <alignment vertical="center"/>
    </xf>
    <xf numFmtId="0" fontId="20" fillId="299" borderId="0" applyNumberFormat="0" applyBorder="0" applyAlignment="0" applyProtection="0">
      <alignment vertical="center"/>
    </xf>
    <xf numFmtId="0" fontId="33" fillId="295" borderId="14" applyNumberFormat="0" applyAlignment="0" applyProtection="0">
      <alignment vertical="center"/>
    </xf>
    <xf numFmtId="0" fontId="17" fillId="295" borderId="8" applyNumberFormat="0" applyAlignment="0" applyProtection="0">
      <alignment vertical="center"/>
    </xf>
    <xf numFmtId="0" fontId="25" fillId="304" borderId="10" applyNumberFormat="0" applyAlignment="0" applyProtection="0">
      <alignment vertical="center"/>
    </xf>
    <xf numFmtId="0" fontId="21" fillId="318" borderId="0" applyNumberFormat="0" applyBorder="0" applyAlignment="0" applyProtection="0">
      <alignment vertical="center"/>
    </xf>
    <xf numFmtId="0" fontId="20" fillId="296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35" fillId="319" borderId="0" applyNumberFormat="0" applyBorder="0" applyAlignment="0" applyProtection="0">
      <alignment vertical="center"/>
    </xf>
    <xf numFmtId="0" fontId="31" fillId="311" borderId="0" applyNumberFormat="0" applyBorder="0" applyAlignment="0" applyProtection="0">
      <alignment vertical="center"/>
    </xf>
    <xf numFmtId="0" fontId="21" fillId="317" borderId="0" applyNumberFormat="0" applyBorder="0" applyAlignment="0" applyProtection="0">
      <alignment vertical="center"/>
    </xf>
    <xf numFmtId="0" fontId="20" fillId="310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315" borderId="0" applyNumberFormat="0" applyBorder="0" applyAlignment="0" applyProtection="0">
      <alignment vertical="center"/>
    </xf>
    <xf numFmtId="0" fontId="21" fillId="106" borderId="0" applyNumberFormat="0" applyBorder="0" applyAlignment="0" applyProtection="0">
      <alignment vertical="center"/>
    </xf>
    <xf numFmtId="0" fontId="21" fillId="321" borderId="0" applyNumberFormat="0" applyBorder="0" applyAlignment="0" applyProtection="0">
      <alignment vertical="center"/>
    </xf>
    <xf numFmtId="0" fontId="20" fillId="316" borderId="0" applyNumberFormat="0" applyBorder="0" applyAlignment="0" applyProtection="0">
      <alignment vertical="center"/>
    </xf>
    <xf numFmtId="0" fontId="20" fillId="308" borderId="0" applyNumberFormat="0" applyBorder="0" applyAlignment="0" applyProtection="0">
      <alignment vertical="center"/>
    </xf>
    <xf numFmtId="0" fontId="21" fillId="303" borderId="0" applyNumberFormat="0" applyBorder="0" applyAlignment="0" applyProtection="0">
      <alignment vertical="center"/>
    </xf>
    <xf numFmtId="0" fontId="21" fillId="302" borderId="0" applyNumberFormat="0" applyBorder="0" applyAlignment="0" applyProtection="0">
      <alignment vertical="center"/>
    </xf>
    <xf numFmtId="0" fontId="20" fillId="298" borderId="0" applyNumberFormat="0" applyBorder="0" applyAlignment="0" applyProtection="0">
      <alignment vertical="center"/>
    </xf>
    <xf numFmtId="0" fontId="21" fillId="320" borderId="0" applyNumberFormat="0" applyBorder="0" applyAlignment="0" applyProtection="0">
      <alignment vertical="center"/>
    </xf>
    <xf numFmtId="0" fontId="20" fillId="314" borderId="0" applyNumberFormat="0" applyBorder="0" applyAlignment="0" applyProtection="0">
      <alignment vertical="center"/>
    </xf>
    <xf numFmtId="0" fontId="20" fillId="313" borderId="0" applyNumberFormat="0" applyBorder="0" applyAlignment="0" applyProtection="0">
      <alignment vertical="center"/>
    </xf>
    <xf numFmtId="0" fontId="21" fillId="312" borderId="0" applyNumberFormat="0" applyBorder="0" applyAlignment="0" applyProtection="0">
      <alignment vertical="center"/>
    </xf>
    <xf numFmtId="0" fontId="20" fillId="297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429">
    <xf numFmtId="0" fontId="0" fillId="0" borderId="0" xfId="0">
      <alignment vertical="center"/>
    </xf>
    <xf numFmtId="0" fontId="0" fillId="2" borderId="1" xfId="0" applyFill="1" applyBorder="1" applyAlignment="1" applyProtection="1">
      <protection locked="0"/>
    </xf>
    <xf numFmtId="0" fontId="0" fillId="0" borderId="0" xfId="0" applyNumberFormat="1">
      <alignment vertical="center"/>
    </xf>
    <xf numFmtId="0" fontId="0" fillId="3" borderId="1" xfId="0" applyFill="1" applyBorder="1" applyAlignment="1" applyProtection="1">
      <protection locked="0"/>
    </xf>
    <xf numFmtId="0" fontId="0" fillId="4" borderId="1" xfId="0" applyFill="1" applyBorder="1" applyAlignment="1" applyProtection="1">
      <protection locked="0"/>
    </xf>
    <xf numFmtId="0" fontId="0" fillId="5" borderId="1" xfId="0" applyFill="1" applyBorder="1" applyAlignment="1" applyProtection="1">
      <protection locked="0"/>
    </xf>
    <xf numFmtId="0" fontId="0" fillId="6" borderId="2" xfId="0" applyFill="1" applyBorder="1" applyAlignment="1" applyProtection="1">
      <protection locked="0"/>
    </xf>
    <xf numFmtId="0" fontId="0" fillId="7" borderId="0" xfId="0" applyFill="1" applyBorder="1" applyAlignment="1" applyProtection="1">
      <protection locked="0"/>
    </xf>
    <xf numFmtId="0" fontId="1" fillId="0" borderId="0" xfId="0" applyFont="1" applyFill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8" borderId="0" xfId="0" applyFont="1" applyFill="1">
      <alignment vertical="center"/>
    </xf>
    <xf numFmtId="0" fontId="3" fillId="9" borderId="0" xfId="0" applyFont="1" applyFill="1" applyAlignment="1">
      <alignment horizontal="left" vertical="center"/>
    </xf>
    <xf numFmtId="10" fontId="0" fillId="0" borderId="3" xfId="0" applyNumberFormat="1" applyBorder="1" applyAlignment="1">
      <alignment horizontal="center" vertical="center"/>
    </xf>
    <xf numFmtId="0" fontId="0" fillId="9" borderId="0" xfId="0" applyFill="1">
      <alignment vertical="center"/>
    </xf>
    <xf numFmtId="0" fontId="4" fillId="0" borderId="3" xfId="0" applyFont="1" applyBorder="1" applyAlignment="1">
      <alignment horizontal="center" vertical="top"/>
    </xf>
    <xf numFmtId="9" fontId="0" fillId="0" borderId="3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0" fontId="0" fillId="0" borderId="3" xfId="0" applyNumberForma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9" borderId="0" xfId="0" applyFont="1" applyFill="1" applyAlignment="1">
      <alignment horizontal="center" vertical="center"/>
    </xf>
    <xf numFmtId="0" fontId="7" fillId="9" borderId="0" xfId="0" applyFont="1" applyFill="1">
      <alignment vertical="center"/>
    </xf>
    <xf numFmtId="0" fontId="0" fillId="8" borderId="0" xfId="0" applyFill="1">
      <alignment vertical="center"/>
    </xf>
    <xf numFmtId="10" fontId="0" fillId="0" borderId="0" xfId="0" applyNumberFormat="1">
      <alignment vertical="center"/>
    </xf>
    <xf numFmtId="0" fontId="7" fillId="9" borderId="3" xfId="0" applyFont="1" applyFill="1" applyBorder="1" applyAlignment="1">
      <alignment horizontal="center" vertical="center"/>
    </xf>
    <xf numFmtId="0" fontId="7" fillId="9" borderId="3" xfId="0" applyFont="1" applyFill="1" applyBorder="1">
      <alignment vertical="center"/>
    </xf>
    <xf numFmtId="0" fontId="0" fillId="9" borderId="3" xfId="0" applyFill="1" applyBorder="1">
      <alignment vertical="center"/>
    </xf>
    <xf numFmtId="0" fontId="7" fillId="0" borderId="0" xfId="0" applyFont="1">
      <alignment vertical="center"/>
    </xf>
    <xf numFmtId="10" fontId="7" fillId="0" borderId="0" xfId="0" applyNumberFormat="1" applyFont="1">
      <alignment vertical="center"/>
    </xf>
    <xf numFmtId="10" fontId="2" fillId="8" borderId="0" xfId="0" applyNumberFormat="1" applyFont="1" applyFill="1">
      <alignment vertical="center"/>
    </xf>
    <xf numFmtId="0" fontId="8" fillId="8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0" borderId="4" xfId="0" applyNumberFormat="1" applyFill="1" applyBorder="1" applyProtection="1">
      <alignment vertical="center"/>
      <protection locked="0"/>
    </xf>
    <xf numFmtId="0" fontId="9" fillId="0" borderId="0" xfId="0" applyFont="1">
      <alignment vertical="center"/>
    </xf>
    <xf numFmtId="0" fontId="0" fillId="0" borderId="5" xfId="0" applyNumberFormat="1" applyFill="1" applyBorder="1" applyProtection="1">
      <alignment vertical="center"/>
      <protection locked="0"/>
    </xf>
    <xf numFmtId="0" fontId="0" fillId="0" borderId="0" xfId="0" applyBorder="1">
      <alignment vertical="center"/>
    </xf>
    <xf numFmtId="0" fontId="0" fillId="0" borderId="0" xfId="0" applyFill="1" applyBorder="1" applyProtection="1">
      <alignment vertical="center"/>
      <protection locked="0"/>
    </xf>
    <xf numFmtId="0" fontId="9" fillId="0" borderId="0" xfId="0" applyFont="1" applyBorder="1">
      <alignment vertical="center"/>
    </xf>
    <xf numFmtId="0" fontId="10" fillId="0" borderId="0" xfId="0" applyFont="1">
      <alignment vertical="center"/>
    </xf>
    <xf numFmtId="0" fontId="0" fillId="0" borderId="6" xfId="0" applyNumberFormat="1" applyFill="1" applyBorder="1" applyProtection="1">
      <alignment vertical="center"/>
      <protection locked="0"/>
    </xf>
    <xf numFmtId="0" fontId="9" fillId="0" borderId="0" xfId="0" applyFont="1" applyFill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0" fillId="8" borderId="0" xfId="0" applyFont="1" applyFill="1">
      <alignment vertical="center"/>
    </xf>
    <xf numFmtId="0" fontId="0" fillId="10" borderId="1" xfId="0" applyFill="1" applyBorder="1" applyAlignment="1" applyProtection="1">
      <protection locked="0"/>
    </xf>
    <xf numFmtId="0" fontId="0" fillId="11" borderId="1" xfId="0" applyFill="1" applyBorder="1" applyAlignment="1" applyProtection="1">
      <protection locked="0"/>
    </xf>
    <xf numFmtId="0" fontId="0" fillId="12" borderId="1" xfId="0" applyFill="1" applyBorder="1" applyAlignment="1" applyProtection="1">
      <protection locked="0"/>
    </xf>
    <xf numFmtId="0" fontId="0" fillId="13" borderId="1" xfId="0" applyFill="1" applyBorder="1" applyAlignment="1" applyProtection="1">
      <protection locked="0"/>
    </xf>
    <xf numFmtId="0" fontId="0" fillId="14" borderId="2" xfId="0" applyFill="1" applyBorder="1" applyAlignment="1" applyProtection="1"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" fillId="15" borderId="1" xfId="0" applyFont="1" applyFill="1" applyBorder="1" applyAlignment="1"/>
    <xf numFmtId="0" fontId="1" fillId="10" borderId="1" xfId="0" applyFont="1" applyFill="1" applyBorder="1" applyAlignment="1"/>
    <xf numFmtId="0" fontId="1" fillId="16" borderId="1" xfId="0" applyFont="1" applyFill="1" applyBorder="1" applyAlignment="1"/>
    <xf numFmtId="0" fontId="1" fillId="17" borderId="1" xfId="0" applyFont="1" applyFill="1" applyBorder="1" applyAlignment="1"/>
    <xf numFmtId="0" fontId="1" fillId="18" borderId="1" xfId="0" applyFont="1" applyFill="1" applyBorder="1" applyAlignment="1"/>
    <xf numFmtId="0" fontId="1" fillId="19" borderId="1" xfId="0" applyFont="1" applyFill="1" applyBorder="1" applyAlignment="1"/>
    <xf numFmtId="0" fontId="1" fillId="20" borderId="1" xfId="0" applyFont="1" applyFill="1" applyBorder="1" applyAlignment="1"/>
    <xf numFmtId="0" fontId="1" fillId="11" borderId="1" xfId="0" applyFont="1" applyFill="1" applyBorder="1" applyAlignment="1"/>
    <xf numFmtId="0" fontId="1" fillId="21" borderId="1" xfId="0" applyFont="1" applyFill="1" applyBorder="1" applyAlignment="1"/>
    <xf numFmtId="0" fontId="1" fillId="22" borderId="1" xfId="0" applyFont="1" applyFill="1" applyBorder="1" applyAlignment="1"/>
    <xf numFmtId="0" fontId="1" fillId="23" borderId="1" xfId="0" applyFont="1" applyFill="1" applyBorder="1" applyAlignment="1"/>
    <xf numFmtId="0" fontId="1" fillId="24" borderId="1" xfId="0" applyFont="1" applyFill="1" applyBorder="1" applyAlignment="1"/>
    <xf numFmtId="0" fontId="1" fillId="12" borderId="1" xfId="0" applyFont="1" applyFill="1" applyBorder="1" applyAlignment="1"/>
    <xf numFmtId="0" fontId="1" fillId="25" borderId="1" xfId="0" applyFont="1" applyFill="1" applyBorder="1" applyAlignment="1"/>
    <xf numFmtId="0" fontId="1" fillId="26" borderId="1" xfId="0" applyFont="1" applyFill="1" applyBorder="1" applyAlignment="1"/>
    <xf numFmtId="0" fontId="1" fillId="27" borderId="1" xfId="0" applyFont="1" applyFill="1" applyBorder="1" applyAlignment="1"/>
    <xf numFmtId="0" fontId="1" fillId="28" borderId="1" xfId="0" applyFont="1" applyFill="1" applyBorder="1" applyAlignment="1"/>
    <xf numFmtId="0" fontId="1" fillId="29" borderId="1" xfId="0" applyFont="1" applyFill="1" applyBorder="1" applyAlignment="1"/>
    <xf numFmtId="0" fontId="1" fillId="13" borderId="1" xfId="0" applyFont="1" applyFill="1" applyBorder="1" applyAlignment="1"/>
    <xf numFmtId="0" fontId="1" fillId="30" borderId="1" xfId="0" applyFont="1" applyFill="1" applyBorder="1" applyAlignment="1"/>
    <xf numFmtId="0" fontId="1" fillId="31" borderId="1" xfId="0" applyFont="1" applyFill="1" applyBorder="1" applyAlignment="1"/>
    <xf numFmtId="0" fontId="1" fillId="32" borderId="1" xfId="0" applyFont="1" applyFill="1" applyBorder="1" applyAlignment="1"/>
    <xf numFmtId="0" fontId="1" fillId="33" borderId="1" xfId="0" applyFont="1" applyFill="1" applyBorder="1" applyAlignment="1"/>
    <xf numFmtId="0" fontId="1" fillId="34" borderId="1" xfId="0" applyFont="1" applyFill="1" applyBorder="1" applyAlignment="1"/>
    <xf numFmtId="0" fontId="1" fillId="14" borderId="1" xfId="0" applyFont="1" applyFill="1" applyBorder="1" applyAlignment="1"/>
    <xf numFmtId="0" fontId="1" fillId="35" borderId="1" xfId="0" applyFont="1" applyFill="1" applyBorder="1" applyAlignment="1"/>
    <xf numFmtId="0" fontId="1" fillId="36" borderId="1" xfId="0" applyFont="1" applyFill="1" applyBorder="1" applyAlignment="1"/>
    <xf numFmtId="0" fontId="1" fillId="37" borderId="1" xfId="0" applyFont="1" applyFill="1" applyBorder="1" applyAlignment="1"/>
    <xf numFmtId="0" fontId="0" fillId="0" borderId="1" xfId="0" applyBorder="1">
      <alignment vertical="center"/>
    </xf>
    <xf numFmtId="0" fontId="7" fillId="38" borderId="0" xfId="0" applyFont="1" applyFill="1">
      <alignment vertical="center"/>
    </xf>
    <xf numFmtId="0" fontId="0" fillId="38" borderId="0" xfId="0" applyFill="1">
      <alignment vertical="center"/>
    </xf>
    <xf numFmtId="0" fontId="12" fillId="0" borderId="0" xfId="0" applyFont="1">
      <alignment vertical="center"/>
    </xf>
    <xf numFmtId="0" fontId="13" fillId="0" borderId="0" xfId="10">
      <alignment vertical="center"/>
    </xf>
    <xf numFmtId="0" fontId="1" fillId="39" borderId="1" xfId="0" applyFont="1" applyFill="1" applyBorder="1" applyAlignment="1"/>
    <xf numFmtId="0" fontId="1" fillId="2" borderId="1" xfId="0" applyFont="1" applyFill="1" applyBorder="1" applyAlignment="1"/>
    <xf numFmtId="0" fontId="1" fillId="40" borderId="1" xfId="0" applyFont="1" applyFill="1" applyBorder="1" applyAlignment="1"/>
    <xf numFmtId="0" fontId="1" fillId="41" borderId="1" xfId="0" applyFont="1" applyFill="1" applyBorder="1" applyAlignment="1"/>
    <xf numFmtId="0" fontId="1" fillId="42" borderId="1" xfId="0" applyFont="1" applyFill="1" applyBorder="1" applyAlignment="1"/>
    <xf numFmtId="0" fontId="1" fillId="43" borderId="1" xfId="0" applyFont="1" applyFill="1" applyBorder="1" applyAlignment="1"/>
    <xf numFmtId="0" fontId="1" fillId="44" borderId="1" xfId="0" applyFont="1" applyFill="1" applyBorder="1" applyAlignment="1"/>
    <xf numFmtId="0" fontId="1" fillId="45" borderId="1" xfId="0" applyFont="1" applyFill="1" applyBorder="1" applyAlignment="1"/>
    <xf numFmtId="0" fontId="1" fillId="46" borderId="1" xfId="0" applyFont="1" applyFill="1" applyBorder="1" applyAlignment="1"/>
    <xf numFmtId="0" fontId="1" fillId="3" borderId="1" xfId="0" applyFont="1" applyFill="1" applyBorder="1" applyAlignment="1"/>
    <xf numFmtId="0" fontId="1" fillId="47" borderId="1" xfId="0" applyFont="1" applyFill="1" applyBorder="1" applyAlignment="1"/>
    <xf numFmtId="0" fontId="1" fillId="48" borderId="1" xfId="0" applyFont="1" applyFill="1" applyBorder="1" applyAlignment="1"/>
    <xf numFmtId="0" fontId="1" fillId="49" borderId="1" xfId="0" applyFont="1" applyFill="1" applyBorder="1" applyAlignment="1"/>
    <xf numFmtId="0" fontId="1" fillId="50" borderId="1" xfId="0" applyFont="1" applyFill="1" applyBorder="1" applyAlignment="1"/>
    <xf numFmtId="0" fontId="1" fillId="51" borderId="1" xfId="0" applyFont="1" applyFill="1" applyBorder="1" applyAlignment="1"/>
    <xf numFmtId="0" fontId="1" fillId="52" borderId="1" xfId="0" applyFont="1" applyFill="1" applyBorder="1" applyAlignment="1"/>
    <xf numFmtId="0" fontId="1" fillId="53" borderId="1" xfId="0" applyFont="1" applyFill="1" applyBorder="1" applyAlignment="1"/>
    <xf numFmtId="0" fontId="1" fillId="4" borderId="1" xfId="0" applyFont="1" applyFill="1" applyBorder="1" applyAlignment="1"/>
    <xf numFmtId="0" fontId="1" fillId="54" borderId="1" xfId="0" applyFont="1" applyFill="1" applyBorder="1" applyAlignment="1"/>
    <xf numFmtId="0" fontId="1" fillId="55" borderId="1" xfId="0" applyFont="1" applyFill="1" applyBorder="1" applyAlignment="1"/>
    <xf numFmtId="0" fontId="1" fillId="56" borderId="1" xfId="0" applyFont="1" applyFill="1" applyBorder="1" applyAlignment="1"/>
    <xf numFmtId="0" fontId="1" fillId="57" borderId="1" xfId="0" applyFont="1" applyFill="1" applyBorder="1" applyAlignment="1"/>
    <xf numFmtId="0" fontId="1" fillId="58" borderId="1" xfId="0" applyFont="1" applyFill="1" applyBorder="1" applyAlignment="1"/>
    <xf numFmtId="0" fontId="1" fillId="59" borderId="1" xfId="0" applyFont="1" applyFill="1" applyBorder="1" applyAlignment="1"/>
    <xf numFmtId="0" fontId="1" fillId="60" borderId="1" xfId="0" applyFont="1" applyFill="1" applyBorder="1" applyAlignment="1"/>
    <xf numFmtId="0" fontId="1" fillId="5" borderId="1" xfId="0" applyFont="1" applyFill="1" applyBorder="1" applyAlignment="1"/>
    <xf numFmtId="0" fontId="1" fillId="61" borderId="1" xfId="0" applyFont="1" applyFill="1" applyBorder="1" applyAlignment="1"/>
    <xf numFmtId="0" fontId="1" fillId="62" borderId="1" xfId="0" applyFont="1" applyFill="1" applyBorder="1" applyAlignment="1"/>
    <xf numFmtId="0" fontId="1" fillId="63" borderId="1" xfId="0" applyFont="1" applyFill="1" applyBorder="1" applyAlignment="1"/>
    <xf numFmtId="0" fontId="1" fillId="64" borderId="1" xfId="0" applyFont="1" applyFill="1" applyBorder="1" applyAlignment="1"/>
    <xf numFmtId="0" fontId="1" fillId="65" borderId="1" xfId="0" applyFont="1" applyFill="1" applyBorder="1" applyAlignment="1"/>
    <xf numFmtId="0" fontId="1" fillId="66" borderId="1" xfId="0" applyFont="1" applyFill="1" applyBorder="1" applyAlignment="1"/>
    <xf numFmtId="0" fontId="1" fillId="67" borderId="1" xfId="0" applyFont="1" applyFill="1" applyBorder="1" applyAlignment="1"/>
    <xf numFmtId="0" fontId="1" fillId="6" borderId="1" xfId="0" applyFont="1" applyFill="1" applyBorder="1" applyAlignment="1"/>
    <xf numFmtId="0" fontId="1" fillId="68" borderId="1" xfId="0" applyFont="1" applyFill="1" applyBorder="1" applyAlignment="1"/>
    <xf numFmtId="0" fontId="1" fillId="69" borderId="1" xfId="0" applyFont="1" applyFill="1" applyBorder="1" applyAlignment="1"/>
    <xf numFmtId="0" fontId="1" fillId="70" borderId="1" xfId="0" applyFont="1" applyFill="1" applyBorder="1" applyAlignment="1"/>
    <xf numFmtId="0" fontId="1" fillId="71" borderId="1" xfId="0" applyFont="1" applyFill="1" applyBorder="1" applyAlignment="1"/>
    <xf numFmtId="0" fontId="1" fillId="72" borderId="1" xfId="0" applyFont="1" applyFill="1" applyBorder="1" applyAlignment="1"/>
    <xf numFmtId="0" fontId="1" fillId="73" borderId="1" xfId="0" applyFont="1" applyFill="1" applyBorder="1" applyAlignment="1"/>
    <xf numFmtId="0" fontId="1" fillId="74" borderId="1" xfId="0" applyFont="1" applyFill="1" applyBorder="1" applyAlignment="1"/>
    <xf numFmtId="0" fontId="1" fillId="75" borderId="1" xfId="0" applyFont="1" applyFill="1" applyBorder="1" applyAlignment="1"/>
    <xf numFmtId="0" fontId="1" fillId="76" borderId="1" xfId="0" applyFont="1" applyFill="1" applyBorder="1" applyAlignment="1"/>
    <xf numFmtId="0" fontId="1" fillId="77" borderId="1" xfId="0" applyFont="1" applyFill="1" applyBorder="1" applyAlignment="1"/>
    <xf numFmtId="0" fontId="1" fillId="78" borderId="1" xfId="0" applyFont="1" applyFill="1" applyBorder="1" applyAlignment="1"/>
    <xf numFmtId="0" fontId="1" fillId="79" borderId="1" xfId="0" applyFont="1" applyFill="1" applyBorder="1" applyAlignment="1"/>
    <xf numFmtId="0" fontId="1" fillId="80" borderId="1" xfId="0" applyFont="1" applyFill="1" applyBorder="1" applyAlignment="1"/>
    <xf numFmtId="0" fontId="1" fillId="81" borderId="1" xfId="0" applyFont="1" applyFill="1" applyBorder="1" applyAlignment="1"/>
    <xf numFmtId="0" fontId="1" fillId="82" borderId="1" xfId="0" applyFont="1" applyFill="1" applyBorder="1" applyAlignment="1"/>
    <xf numFmtId="0" fontId="1" fillId="83" borderId="1" xfId="0" applyFont="1" applyFill="1" applyBorder="1" applyAlignment="1"/>
    <xf numFmtId="0" fontId="1" fillId="84" borderId="1" xfId="0" applyFont="1" applyFill="1" applyBorder="1" applyAlignment="1"/>
    <xf numFmtId="0" fontId="1" fillId="85" borderId="1" xfId="0" applyFont="1" applyFill="1" applyBorder="1" applyAlignment="1"/>
    <xf numFmtId="0" fontId="1" fillId="86" borderId="1" xfId="0" applyFont="1" applyFill="1" applyBorder="1" applyAlignment="1"/>
    <xf numFmtId="0" fontId="1" fillId="87" borderId="1" xfId="0" applyFont="1" applyFill="1" applyBorder="1" applyAlignment="1"/>
    <xf numFmtId="0" fontId="1" fillId="88" borderId="1" xfId="0" applyFont="1" applyFill="1" applyBorder="1" applyAlignment="1"/>
    <xf numFmtId="0" fontId="1" fillId="89" borderId="1" xfId="0" applyFont="1" applyFill="1" applyBorder="1" applyAlignment="1"/>
    <xf numFmtId="0" fontId="1" fillId="90" borderId="1" xfId="0" applyFont="1" applyFill="1" applyBorder="1" applyAlignment="1"/>
    <xf numFmtId="0" fontId="1" fillId="91" borderId="1" xfId="0" applyFont="1" applyFill="1" applyBorder="1" applyAlignment="1"/>
    <xf numFmtId="0" fontId="1" fillId="92" borderId="1" xfId="0" applyFont="1" applyFill="1" applyBorder="1" applyAlignment="1"/>
    <xf numFmtId="0" fontId="1" fillId="93" borderId="1" xfId="0" applyFont="1" applyFill="1" applyBorder="1" applyAlignment="1"/>
    <xf numFmtId="0" fontId="1" fillId="94" borderId="1" xfId="0" applyFont="1" applyFill="1" applyBorder="1" applyAlignment="1"/>
    <xf numFmtId="0" fontId="1" fillId="95" borderId="1" xfId="0" applyFont="1" applyFill="1" applyBorder="1" applyAlignment="1"/>
    <xf numFmtId="0" fontId="1" fillId="96" borderId="1" xfId="0" applyFont="1" applyFill="1" applyBorder="1" applyAlignment="1"/>
    <xf numFmtId="0" fontId="1" fillId="97" borderId="1" xfId="0" applyFont="1" applyFill="1" applyBorder="1" applyAlignment="1"/>
    <xf numFmtId="0" fontId="1" fillId="98" borderId="1" xfId="0" applyFont="1" applyFill="1" applyBorder="1" applyAlignment="1"/>
    <xf numFmtId="0" fontId="1" fillId="99" borderId="1" xfId="0" applyFont="1" applyFill="1" applyBorder="1" applyAlignment="1"/>
    <xf numFmtId="0" fontId="1" fillId="100" borderId="1" xfId="0" applyFont="1" applyFill="1" applyBorder="1" applyAlignment="1"/>
    <xf numFmtId="0" fontId="1" fillId="101" borderId="1" xfId="0" applyFont="1" applyFill="1" applyBorder="1" applyAlignment="1"/>
    <xf numFmtId="0" fontId="1" fillId="102" borderId="1" xfId="0" applyFont="1" applyFill="1" applyBorder="1" applyAlignment="1"/>
    <xf numFmtId="0" fontId="1" fillId="103" borderId="1" xfId="0" applyFont="1" applyFill="1" applyBorder="1" applyAlignment="1"/>
    <xf numFmtId="0" fontId="1" fillId="104" borderId="1" xfId="0" applyFont="1" applyFill="1" applyBorder="1" applyAlignment="1"/>
    <xf numFmtId="0" fontId="1" fillId="105" borderId="1" xfId="0" applyFont="1" applyFill="1" applyBorder="1" applyAlignment="1"/>
    <xf numFmtId="0" fontId="7" fillId="106" borderId="0" xfId="0" applyFont="1" applyFill="1">
      <alignment vertical="center"/>
    </xf>
    <xf numFmtId="0" fontId="0" fillId="106" borderId="0" xfId="0" applyFill="1">
      <alignment vertical="center"/>
    </xf>
    <xf numFmtId="0" fontId="1" fillId="107" borderId="1" xfId="0" applyFont="1" applyFill="1" applyBorder="1" applyAlignment="1"/>
    <xf numFmtId="0" fontId="1" fillId="108" borderId="1" xfId="0" applyFont="1" applyFill="1" applyBorder="1" applyAlignment="1"/>
    <xf numFmtId="0" fontId="1" fillId="109" borderId="1" xfId="0" applyFont="1" applyFill="1" applyBorder="1" applyAlignment="1"/>
    <xf numFmtId="0" fontId="1" fillId="110" borderId="1" xfId="0" applyFont="1" applyFill="1" applyBorder="1" applyAlignment="1"/>
    <xf numFmtId="0" fontId="1" fillId="111" borderId="1" xfId="0" applyFont="1" applyFill="1" applyBorder="1" applyAlignment="1"/>
    <xf numFmtId="0" fontId="1" fillId="112" borderId="1" xfId="0" applyFont="1" applyFill="1" applyBorder="1" applyAlignment="1"/>
    <xf numFmtId="0" fontId="1" fillId="113" borderId="1" xfId="0" applyFont="1" applyFill="1" applyBorder="1" applyAlignment="1"/>
    <xf numFmtId="0" fontId="1" fillId="114" borderId="1" xfId="0" applyFont="1" applyFill="1" applyBorder="1" applyAlignment="1"/>
    <xf numFmtId="0" fontId="1" fillId="115" borderId="1" xfId="0" applyFont="1" applyFill="1" applyBorder="1" applyAlignment="1"/>
    <xf numFmtId="0" fontId="1" fillId="7" borderId="1" xfId="0" applyFont="1" applyFill="1" applyBorder="1" applyAlignment="1"/>
    <xf numFmtId="0" fontId="1" fillId="116" borderId="1" xfId="0" applyFont="1" applyFill="1" applyBorder="1" applyAlignment="1"/>
    <xf numFmtId="0" fontId="1" fillId="117" borderId="1" xfId="0" applyFont="1" applyFill="1" applyBorder="1" applyAlignment="1"/>
    <xf numFmtId="0" fontId="1" fillId="118" borderId="1" xfId="0" applyFont="1" applyFill="1" applyBorder="1" applyAlignment="1"/>
    <xf numFmtId="0" fontId="1" fillId="119" borderId="1" xfId="0" applyFont="1" applyFill="1" applyBorder="1" applyAlignment="1"/>
    <xf numFmtId="0" fontId="1" fillId="120" borderId="1" xfId="0" applyFont="1" applyFill="1" applyBorder="1" applyAlignment="1"/>
    <xf numFmtId="0" fontId="1" fillId="121" borderId="1" xfId="0" applyFont="1" applyFill="1" applyBorder="1" applyAlignment="1"/>
    <xf numFmtId="0" fontId="1" fillId="122" borderId="1" xfId="0" applyFont="1" applyFill="1" applyBorder="1" applyAlignment="1"/>
    <xf numFmtId="0" fontId="1" fillId="123" borderId="1" xfId="0" applyFont="1" applyFill="1" applyBorder="1" applyAlignment="1"/>
    <xf numFmtId="0" fontId="1" fillId="124" borderId="1" xfId="0" applyFont="1" applyFill="1" applyBorder="1" applyAlignment="1"/>
    <xf numFmtId="0" fontId="1" fillId="125" borderId="1" xfId="0" applyFont="1" applyFill="1" applyBorder="1" applyAlignment="1"/>
    <xf numFmtId="0" fontId="1" fillId="126" borderId="1" xfId="0" applyFont="1" applyFill="1" applyBorder="1" applyAlignment="1"/>
    <xf numFmtId="0" fontId="1" fillId="127" borderId="1" xfId="0" applyFont="1" applyFill="1" applyBorder="1" applyAlignment="1"/>
    <xf numFmtId="0" fontId="1" fillId="128" borderId="1" xfId="0" applyFont="1" applyFill="1" applyBorder="1" applyAlignment="1"/>
    <xf numFmtId="0" fontId="1" fillId="129" borderId="1" xfId="0" applyFont="1" applyFill="1" applyBorder="1" applyAlignment="1"/>
    <xf numFmtId="0" fontId="1" fillId="130" borderId="1" xfId="0" applyFont="1" applyFill="1" applyBorder="1" applyAlignment="1"/>
    <xf numFmtId="0" fontId="1" fillId="131" borderId="1" xfId="0" applyFont="1" applyFill="1" applyBorder="1" applyAlignment="1"/>
    <xf numFmtId="0" fontId="1" fillId="132" borderId="1" xfId="0" applyFont="1" applyFill="1" applyBorder="1" applyAlignment="1"/>
    <xf numFmtId="0" fontId="1" fillId="133" borderId="1" xfId="0" applyFont="1" applyFill="1" applyBorder="1" applyAlignment="1"/>
    <xf numFmtId="0" fontId="1" fillId="134" borderId="1" xfId="0" applyFont="1" applyFill="1" applyBorder="1" applyAlignment="1"/>
    <xf numFmtId="0" fontId="1" fillId="135" borderId="1" xfId="0" applyFont="1" applyFill="1" applyBorder="1" applyAlignment="1"/>
    <xf numFmtId="0" fontId="7" fillId="136" borderId="0" xfId="0" applyFont="1" applyFill="1">
      <alignment vertical="center"/>
    </xf>
    <xf numFmtId="0" fontId="0" fillId="136" borderId="0" xfId="0" applyFill="1">
      <alignment vertical="center"/>
    </xf>
    <xf numFmtId="0" fontId="1" fillId="137" borderId="1" xfId="0" applyFont="1" applyFill="1" applyBorder="1" applyAlignment="1"/>
    <xf numFmtId="0" fontId="1" fillId="138" borderId="1" xfId="0" applyFont="1" applyFill="1" applyBorder="1" applyAlignment="1"/>
    <xf numFmtId="0" fontId="1" fillId="139" borderId="1" xfId="0" applyFont="1" applyFill="1" applyBorder="1" applyAlignment="1"/>
    <xf numFmtId="0" fontId="1" fillId="140" borderId="1" xfId="0" applyFont="1" applyFill="1" applyBorder="1" applyAlignment="1"/>
    <xf numFmtId="0" fontId="1" fillId="141" borderId="1" xfId="0" applyFont="1" applyFill="1" applyBorder="1" applyAlignment="1"/>
    <xf numFmtId="0" fontId="1" fillId="33" borderId="7" xfId="0" applyFont="1" applyFill="1" applyBorder="1" applyAlignment="1">
      <alignment vertical="center"/>
    </xf>
    <xf numFmtId="0" fontId="0" fillId="142" borderId="1" xfId="0" applyFill="1" applyBorder="1" applyAlignment="1" applyProtection="1">
      <protection hidden="1"/>
    </xf>
    <xf numFmtId="0" fontId="0" fillId="143" borderId="1" xfId="0" applyFill="1" applyBorder="1" applyAlignment="1" applyProtection="1">
      <protection hidden="1"/>
    </xf>
    <xf numFmtId="0" fontId="1" fillId="144" borderId="1" xfId="0" applyFont="1" applyFill="1" applyBorder="1" applyAlignment="1"/>
    <xf numFmtId="0" fontId="1" fillId="145" borderId="1" xfId="0" applyFont="1" applyFill="1" applyBorder="1" applyAlignment="1"/>
    <xf numFmtId="0" fontId="1" fillId="146" borderId="1" xfId="0" applyFont="1" applyFill="1" applyBorder="1" applyAlignment="1"/>
    <xf numFmtId="0" fontId="1" fillId="147" borderId="1" xfId="0" applyFont="1" applyFill="1" applyBorder="1" applyAlignment="1"/>
    <xf numFmtId="0" fontId="1" fillId="148" borderId="1" xfId="0" applyFont="1" applyFill="1" applyBorder="1" applyAlignment="1"/>
    <xf numFmtId="0" fontId="1" fillId="149" borderId="1" xfId="0" applyFont="1" applyFill="1" applyBorder="1" applyAlignment="1">
      <alignment vertical="center"/>
    </xf>
    <xf numFmtId="0" fontId="0" fillId="150" borderId="1" xfId="0" applyFill="1" applyBorder="1" applyAlignment="1" applyProtection="1">
      <protection hidden="1"/>
    </xf>
    <xf numFmtId="0" fontId="0" fillId="151" borderId="1" xfId="0" applyFill="1" applyBorder="1" applyAlignment="1" applyProtection="1">
      <protection hidden="1"/>
    </xf>
    <xf numFmtId="0" fontId="1" fillId="152" borderId="1" xfId="0" applyFont="1" applyFill="1" applyBorder="1" applyAlignment="1"/>
    <xf numFmtId="0" fontId="1" fillId="153" borderId="1" xfId="0" applyFont="1" applyFill="1" applyBorder="1" applyAlignment="1"/>
    <xf numFmtId="0" fontId="1" fillId="154" borderId="1" xfId="0" applyFont="1" applyFill="1" applyBorder="1" applyAlignment="1"/>
    <xf numFmtId="0" fontId="1" fillId="155" borderId="1" xfId="0" applyFont="1" applyFill="1" applyBorder="1" applyAlignment="1"/>
    <xf numFmtId="0" fontId="1" fillId="156" borderId="1" xfId="0" applyFont="1" applyFill="1" applyBorder="1" applyAlignment="1"/>
    <xf numFmtId="0" fontId="1" fillId="157" borderId="1" xfId="0" applyFont="1" applyFill="1" applyBorder="1" applyAlignment="1">
      <alignment vertical="center"/>
    </xf>
    <xf numFmtId="0" fontId="0" fillId="158" borderId="1" xfId="0" applyFill="1" applyBorder="1" applyAlignment="1" applyProtection="1">
      <protection hidden="1"/>
    </xf>
    <xf numFmtId="0" fontId="0" fillId="159" borderId="1" xfId="0" applyFill="1" applyBorder="1" applyAlignment="1" applyProtection="1">
      <protection hidden="1"/>
    </xf>
    <xf numFmtId="0" fontId="1" fillId="160" borderId="1" xfId="0" applyFont="1" applyFill="1" applyBorder="1" applyAlignment="1"/>
    <xf numFmtId="0" fontId="1" fillId="161" borderId="1" xfId="0" applyFont="1" applyFill="1" applyBorder="1" applyAlignment="1"/>
    <xf numFmtId="0" fontId="1" fillId="162" borderId="1" xfId="0" applyFont="1" applyFill="1" applyBorder="1" applyAlignment="1"/>
    <xf numFmtId="0" fontId="1" fillId="163" borderId="1" xfId="0" applyFont="1" applyFill="1" applyBorder="1" applyAlignment="1"/>
    <xf numFmtId="0" fontId="1" fillId="164" borderId="1" xfId="0" applyFont="1" applyFill="1" applyBorder="1" applyAlignment="1"/>
    <xf numFmtId="0" fontId="1" fillId="124" borderId="1" xfId="0" applyFont="1" applyFill="1" applyBorder="1" applyAlignment="1">
      <alignment vertical="center"/>
    </xf>
    <xf numFmtId="0" fontId="0" fillId="98" borderId="1" xfId="0" applyFill="1" applyBorder="1" applyAlignment="1" applyProtection="1">
      <protection hidden="1"/>
    </xf>
    <xf numFmtId="0" fontId="0" fillId="97" borderId="1" xfId="0" applyFill="1" applyBorder="1" applyAlignment="1" applyProtection="1">
      <protection hidden="1"/>
    </xf>
    <xf numFmtId="0" fontId="1" fillId="165" borderId="1" xfId="0" applyFont="1" applyFill="1" applyBorder="1" applyAlignment="1"/>
    <xf numFmtId="0" fontId="1" fillId="166" borderId="1" xfId="0" applyFont="1" applyFill="1" applyBorder="1" applyAlignment="1"/>
    <xf numFmtId="0" fontId="1" fillId="167" borderId="1" xfId="0" applyFont="1" applyFill="1" applyBorder="1" applyAlignment="1"/>
    <xf numFmtId="0" fontId="1" fillId="168" borderId="1" xfId="0" applyFont="1" applyFill="1" applyBorder="1" applyAlignment="1"/>
    <xf numFmtId="0" fontId="1" fillId="169" borderId="1" xfId="0" applyFont="1" applyFill="1" applyBorder="1" applyAlignment="1"/>
    <xf numFmtId="0" fontId="1" fillId="170" borderId="1" xfId="0" applyFont="1" applyFill="1" applyBorder="1" applyAlignment="1">
      <alignment vertical="center"/>
    </xf>
    <xf numFmtId="0" fontId="0" fillId="171" borderId="1" xfId="0" applyFill="1" applyBorder="1" applyAlignment="1" applyProtection="1">
      <protection hidden="1"/>
    </xf>
    <xf numFmtId="0" fontId="0" fillId="172" borderId="1" xfId="0" applyFill="1" applyBorder="1" applyAlignment="1" applyProtection="1">
      <protection hidden="1"/>
    </xf>
    <xf numFmtId="0" fontId="1" fillId="173" borderId="1" xfId="0" applyFont="1" applyFill="1" applyBorder="1" applyAlignment="1">
      <alignment vertical="center"/>
    </xf>
    <xf numFmtId="0" fontId="0" fillId="174" borderId="1" xfId="0" applyFill="1" applyBorder="1" applyAlignment="1" applyProtection="1">
      <protection hidden="1"/>
    </xf>
    <xf numFmtId="0" fontId="0" fillId="175" borderId="1" xfId="0" applyFill="1" applyBorder="1" applyAlignment="1" applyProtection="1">
      <protection hidden="1"/>
    </xf>
    <xf numFmtId="0" fontId="1" fillId="113" borderId="1" xfId="0" applyFont="1" applyFill="1" applyBorder="1" applyAlignment="1">
      <alignment vertical="center"/>
    </xf>
    <xf numFmtId="0" fontId="0" fillId="87" borderId="1" xfId="0" applyFill="1" applyBorder="1" applyAlignment="1" applyProtection="1">
      <protection hidden="1"/>
    </xf>
    <xf numFmtId="0" fontId="0" fillId="86" borderId="1" xfId="0" applyFill="1" applyBorder="1" applyAlignment="1" applyProtection="1">
      <protection hidden="1"/>
    </xf>
    <xf numFmtId="0" fontId="1" fillId="176" borderId="1" xfId="0" applyFont="1" applyFill="1" applyBorder="1" applyAlignment="1">
      <alignment vertical="center"/>
    </xf>
    <xf numFmtId="0" fontId="0" fillId="177" borderId="1" xfId="0" applyFill="1" applyBorder="1" applyAlignment="1" applyProtection="1">
      <protection hidden="1"/>
    </xf>
    <xf numFmtId="0" fontId="0" fillId="178" borderId="1" xfId="0" applyFill="1" applyBorder="1" applyAlignment="1" applyProtection="1">
      <protection hidden="1"/>
    </xf>
    <xf numFmtId="0" fontId="1" fillId="179" borderId="1" xfId="0" applyFont="1" applyFill="1" applyBorder="1" applyAlignment="1">
      <alignment vertical="center"/>
    </xf>
    <xf numFmtId="0" fontId="0" fillId="180" borderId="1" xfId="0" applyFill="1" applyBorder="1" applyAlignment="1" applyProtection="1">
      <protection hidden="1"/>
    </xf>
    <xf numFmtId="0" fontId="0" fillId="181" borderId="1" xfId="0" applyFill="1" applyBorder="1" applyAlignment="1" applyProtection="1">
      <protection hidden="1"/>
    </xf>
    <xf numFmtId="0" fontId="1" fillId="182" borderId="1" xfId="0" applyFont="1" applyFill="1" applyBorder="1" applyAlignment="1">
      <alignment vertical="center"/>
    </xf>
    <xf numFmtId="0" fontId="0" fillId="183" borderId="1" xfId="0" applyFill="1" applyBorder="1" applyAlignment="1" applyProtection="1">
      <protection hidden="1"/>
    </xf>
    <xf numFmtId="0" fontId="0" fillId="184" borderId="1" xfId="0" applyFill="1" applyBorder="1" applyAlignment="1" applyProtection="1">
      <protection hidden="1"/>
    </xf>
    <xf numFmtId="0" fontId="0" fillId="185" borderId="1" xfId="0" applyFill="1" applyBorder="1" applyAlignment="1" applyProtection="1">
      <protection hidden="1"/>
    </xf>
    <xf numFmtId="0" fontId="0" fillId="186" borderId="1" xfId="0" applyFill="1" applyBorder="1" applyAlignment="1" applyProtection="1">
      <protection hidden="1"/>
    </xf>
    <xf numFmtId="0" fontId="0" fillId="187" borderId="1" xfId="0" applyFill="1" applyBorder="1" applyAlignment="1" applyProtection="1">
      <protection hidden="1"/>
    </xf>
    <xf numFmtId="0" fontId="0" fillId="188" borderId="1" xfId="0" applyFill="1" applyBorder="1" applyAlignment="1" applyProtection="1">
      <protection hidden="1"/>
    </xf>
    <xf numFmtId="0" fontId="1" fillId="189" borderId="1" xfId="0" applyFont="1" applyFill="1" applyBorder="1" applyAlignment="1">
      <alignment vertical="center"/>
    </xf>
    <xf numFmtId="0" fontId="1" fillId="184" borderId="1" xfId="0" applyFont="1" applyFill="1" applyBorder="1" applyAlignment="1">
      <alignment vertical="center"/>
    </xf>
    <xf numFmtId="0" fontId="1" fillId="183" borderId="1" xfId="0" applyFont="1" applyFill="1" applyBorder="1" applyAlignment="1">
      <alignment vertical="center"/>
    </xf>
    <xf numFmtId="0" fontId="1" fillId="190" borderId="1" xfId="0" applyFont="1" applyFill="1" applyBorder="1" applyAlignment="1">
      <alignment vertical="center"/>
    </xf>
    <xf numFmtId="0" fontId="0" fillId="191" borderId="1" xfId="0" applyFill="1" applyBorder="1" applyAlignment="1" applyProtection="1">
      <protection hidden="1"/>
    </xf>
    <xf numFmtId="0" fontId="0" fillId="192" borderId="1" xfId="0" applyFill="1" applyBorder="1" applyAlignment="1" applyProtection="1">
      <protection hidden="1"/>
    </xf>
    <xf numFmtId="0" fontId="0" fillId="193" borderId="1" xfId="0" applyFill="1" applyBorder="1" applyAlignment="1" applyProtection="1">
      <protection hidden="1"/>
    </xf>
    <xf numFmtId="0" fontId="0" fillId="194" borderId="1" xfId="0" applyFill="1" applyBorder="1" applyAlignment="1" applyProtection="1">
      <protection hidden="1"/>
    </xf>
    <xf numFmtId="0" fontId="1" fillId="195" borderId="1" xfId="0" applyFont="1" applyFill="1" applyBorder="1" applyAlignment="1">
      <alignment vertical="center"/>
    </xf>
    <xf numFmtId="0" fontId="1" fillId="181" borderId="1" xfId="0" applyFont="1" applyFill="1" applyBorder="1" applyAlignment="1">
      <alignment vertical="center"/>
    </xf>
    <xf numFmtId="0" fontId="1" fillId="196" borderId="1" xfId="0" applyFont="1" applyFill="1" applyBorder="1" applyAlignment="1">
      <alignment vertical="center"/>
    </xf>
    <xf numFmtId="0" fontId="1" fillId="197" borderId="1" xfId="0" applyFont="1" applyFill="1" applyBorder="1" applyAlignment="1">
      <alignment vertical="center"/>
    </xf>
    <xf numFmtId="0" fontId="0" fillId="198" borderId="1" xfId="0" applyFill="1" applyBorder="1" applyAlignment="1" applyProtection="1">
      <protection hidden="1"/>
    </xf>
    <xf numFmtId="0" fontId="0" fillId="199" borderId="1" xfId="0" applyFill="1" applyBorder="1" applyAlignment="1" applyProtection="1">
      <protection hidden="1"/>
    </xf>
    <xf numFmtId="0" fontId="0" fillId="200" borderId="1" xfId="0" applyFill="1" applyBorder="1" applyAlignment="1" applyProtection="1">
      <protection hidden="1"/>
    </xf>
    <xf numFmtId="0" fontId="0" fillId="201" borderId="1" xfId="0" applyFill="1" applyBorder="1" applyAlignment="1" applyProtection="1">
      <protection hidden="1"/>
    </xf>
    <xf numFmtId="0" fontId="1" fillId="202" borderId="1" xfId="0" applyFont="1" applyFill="1" applyBorder="1" applyAlignment="1">
      <alignment vertical="center"/>
    </xf>
    <xf numFmtId="0" fontId="1" fillId="178" borderId="1" xfId="0" applyFont="1" applyFill="1" applyBorder="1" applyAlignment="1">
      <alignment vertical="center"/>
    </xf>
    <xf numFmtId="0" fontId="1" fillId="177" borderId="1" xfId="0" applyFont="1" applyFill="1" applyBorder="1" applyAlignment="1">
      <alignment vertical="center"/>
    </xf>
    <xf numFmtId="0" fontId="1" fillId="203" borderId="1" xfId="0" applyFont="1" applyFill="1" applyBorder="1" applyAlignment="1">
      <alignment vertical="center"/>
    </xf>
    <xf numFmtId="0" fontId="0" fillId="96" borderId="1" xfId="0" applyFill="1" applyBorder="1" applyAlignment="1" applyProtection="1">
      <protection hidden="1"/>
    </xf>
    <xf numFmtId="0" fontId="0" fillId="122" borderId="1" xfId="0" applyFill="1" applyBorder="1" applyAlignment="1" applyProtection="1">
      <protection hidden="1"/>
    </xf>
    <xf numFmtId="0" fontId="0" fillId="120" borderId="1" xfId="0" applyFill="1" applyBorder="1" applyAlignment="1" applyProtection="1">
      <protection hidden="1"/>
    </xf>
    <xf numFmtId="0" fontId="0" fillId="84" borderId="1" xfId="0" applyFill="1" applyBorder="1" applyAlignment="1" applyProtection="1">
      <protection hidden="1"/>
    </xf>
    <xf numFmtId="0" fontId="1" fillId="85" borderId="1" xfId="0" applyFont="1" applyFill="1" applyBorder="1" applyAlignment="1">
      <alignment vertical="center"/>
    </xf>
    <xf numFmtId="0" fontId="1" fillId="86" borderId="1" xfId="0" applyFont="1" applyFill="1" applyBorder="1" applyAlignment="1">
      <alignment vertical="center"/>
    </xf>
    <xf numFmtId="0" fontId="1" fillId="87" borderId="1" xfId="0" applyFont="1" applyFill="1" applyBorder="1" applyAlignment="1">
      <alignment vertical="center"/>
    </xf>
    <xf numFmtId="0" fontId="1" fillId="112" borderId="1" xfId="0" applyFont="1" applyFill="1" applyBorder="1" applyAlignment="1">
      <alignment vertical="center"/>
    </xf>
    <xf numFmtId="0" fontId="0" fillId="204" borderId="1" xfId="0" applyFill="1" applyBorder="1" applyAlignment="1" applyProtection="1">
      <protection hidden="1"/>
    </xf>
    <xf numFmtId="0" fontId="0" fillId="205" borderId="1" xfId="0" applyFill="1" applyBorder="1" applyAlignment="1" applyProtection="1">
      <protection hidden="1"/>
    </xf>
    <xf numFmtId="0" fontId="0" fillId="206" borderId="1" xfId="0" applyFill="1" applyBorder="1" applyAlignment="1" applyProtection="1">
      <protection hidden="1"/>
    </xf>
    <xf numFmtId="0" fontId="0" fillId="207" borderId="1" xfId="0" applyFill="1" applyBorder="1" applyAlignment="1" applyProtection="1">
      <protection hidden="1"/>
    </xf>
    <xf numFmtId="0" fontId="1" fillId="208" borderId="1" xfId="0" applyFont="1" applyFill="1" applyBorder="1" applyAlignment="1">
      <alignment vertical="center"/>
    </xf>
    <xf numFmtId="0" fontId="1" fillId="175" borderId="1" xfId="0" applyFont="1" applyFill="1" applyBorder="1" applyAlignment="1">
      <alignment vertical="center"/>
    </xf>
    <xf numFmtId="0" fontId="1" fillId="174" borderId="1" xfId="0" applyFont="1" applyFill="1" applyBorder="1" applyAlignment="1">
      <alignment vertical="center"/>
    </xf>
    <xf numFmtId="0" fontId="1" fillId="209" borderId="1" xfId="0" applyFont="1" applyFill="1" applyBorder="1" applyAlignment="1">
      <alignment vertical="center"/>
    </xf>
    <xf numFmtId="0" fontId="0" fillId="208" borderId="1" xfId="0" applyFill="1" applyBorder="1" applyAlignment="1" applyProtection="1">
      <protection hidden="1"/>
    </xf>
    <xf numFmtId="0" fontId="0" fillId="210" borderId="1" xfId="0" applyFill="1" applyBorder="1" applyAlignment="1" applyProtection="1">
      <protection hidden="1"/>
    </xf>
    <xf numFmtId="0" fontId="0" fillId="209" borderId="1" xfId="0" applyFill="1" applyBorder="1" applyAlignment="1" applyProtection="1">
      <protection hidden="1"/>
    </xf>
    <xf numFmtId="0" fontId="0" fillId="211" borderId="1" xfId="0" applyFill="1" applyBorder="1" applyAlignment="1" applyProtection="1">
      <protection hidden="1"/>
    </xf>
    <xf numFmtId="0" fontId="1" fillId="204" borderId="1" xfId="0" applyFont="1" applyFill="1" applyBorder="1" applyAlignment="1">
      <alignment vertical="center"/>
    </xf>
    <xf numFmtId="0" fontId="1" fillId="172" borderId="1" xfId="0" applyFont="1" applyFill="1" applyBorder="1" applyAlignment="1">
      <alignment vertical="center"/>
    </xf>
    <xf numFmtId="0" fontId="1" fillId="171" borderId="1" xfId="0" applyFont="1" applyFill="1" applyBorder="1" applyAlignment="1">
      <alignment vertical="center"/>
    </xf>
    <xf numFmtId="0" fontId="1" fillId="206" borderId="1" xfId="0" applyFont="1" applyFill="1" applyBorder="1" applyAlignment="1">
      <alignment vertical="center"/>
    </xf>
    <xf numFmtId="0" fontId="0" fillId="212" borderId="1" xfId="0" applyFill="1" applyBorder="1" applyAlignment="1" applyProtection="1">
      <protection hidden="1"/>
    </xf>
    <xf numFmtId="0" fontId="0" fillId="113" borderId="1" xfId="0" applyFill="1" applyBorder="1" applyAlignment="1" applyProtection="1">
      <protection hidden="1"/>
    </xf>
    <xf numFmtId="0" fontId="0" fillId="112" borderId="1" xfId="0" applyFill="1" applyBorder="1" applyAlignment="1" applyProtection="1">
      <protection hidden="1"/>
    </xf>
    <xf numFmtId="0" fontId="0" fillId="95" borderId="1" xfId="0" applyFill="1" applyBorder="1" applyAlignment="1" applyProtection="1">
      <protection hidden="1"/>
    </xf>
    <xf numFmtId="0" fontId="1" fillId="96" borderId="1" xfId="0" applyFont="1" applyFill="1" applyBorder="1" applyAlignment="1">
      <alignment vertical="center"/>
    </xf>
    <xf numFmtId="0" fontId="1" fillId="97" borderId="1" xfId="0" applyFont="1" applyFill="1" applyBorder="1" applyAlignment="1">
      <alignment vertical="center"/>
    </xf>
    <xf numFmtId="0" fontId="1" fillId="98" borderId="1" xfId="0" applyFont="1" applyFill="1" applyBorder="1" applyAlignment="1">
      <alignment vertical="center"/>
    </xf>
    <xf numFmtId="0" fontId="1" fillId="120" borderId="1" xfId="0" applyFont="1" applyFill="1" applyBorder="1" applyAlignment="1">
      <alignment vertical="center"/>
    </xf>
    <xf numFmtId="0" fontId="0" fillId="202" borderId="1" xfId="0" applyFill="1" applyBorder="1" applyAlignment="1" applyProtection="1">
      <protection hidden="1"/>
    </xf>
    <xf numFmtId="0" fontId="0" fillId="176" borderId="1" xfId="0" applyFill="1" applyBorder="1" applyAlignment="1" applyProtection="1">
      <protection hidden="1"/>
    </xf>
    <xf numFmtId="0" fontId="0" fillId="203" borderId="1" xfId="0" applyFill="1" applyBorder="1" applyAlignment="1" applyProtection="1">
      <protection hidden="1"/>
    </xf>
    <xf numFmtId="0" fontId="0" fillId="213" borderId="1" xfId="0" applyFill="1" applyBorder="1" applyAlignment="1" applyProtection="1">
      <protection hidden="1"/>
    </xf>
    <xf numFmtId="0" fontId="1" fillId="198" borderId="1" xfId="0" applyFont="1" applyFill="1" applyBorder="1" applyAlignment="1">
      <alignment vertical="center"/>
    </xf>
    <xf numFmtId="0" fontId="1" fillId="159" borderId="1" xfId="0" applyFont="1" applyFill="1" applyBorder="1" applyAlignment="1">
      <alignment vertical="center"/>
    </xf>
    <xf numFmtId="0" fontId="1" fillId="158" borderId="1" xfId="0" applyFont="1" applyFill="1" applyBorder="1" applyAlignment="1">
      <alignment vertical="center"/>
    </xf>
    <xf numFmtId="0" fontId="1" fillId="200" borderId="1" xfId="0" applyFont="1" applyFill="1" applyBorder="1" applyAlignment="1">
      <alignment vertical="center"/>
    </xf>
    <xf numFmtId="0" fontId="0" fillId="214" borderId="1" xfId="0" applyFill="1" applyBorder="1" applyAlignment="1" applyProtection="1">
      <protection hidden="1"/>
    </xf>
    <xf numFmtId="0" fontId="0" fillId="179" borderId="1" xfId="0" applyFill="1" applyBorder="1" applyAlignment="1" applyProtection="1">
      <protection hidden="1"/>
    </xf>
    <xf numFmtId="0" fontId="0" fillId="197" borderId="1" xfId="0" applyFill="1" applyBorder="1" applyAlignment="1" applyProtection="1">
      <protection hidden="1"/>
    </xf>
    <xf numFmtId="0" fontId="0" fillId="215" borderId="1" xfId="0" applyFill="1" applyBorder="1" applyAlignment="1" applyProtection="1">
      <protection hidden="1"/>
    </xf>
    <xf numFmtId="0" fontId="1" fillId="191" borderId="1" xfId="0" applyFont="1" applyFill="1" applyBorder="1" applyAlignment="1">
      <alignment vertical="center"/>
    </xf>
    <xf numFmtId="0" fontId="1" fillId="151" borderId="1" xfId="0" applyFont="1" applyFill="1" applyBorder="1" applyAlignment="1">
      <alignment vertical="center"/>
    </xf>
    <xf numFmtId="0" fontId="1" fillId="150" borderId="1" xfId="0" applyFont="1" applyFill="1" applyBorder="1" applyAlignment="1">
      <alignment vertical="center"/>
    </xf>
    <xf numFmtId="0" fontId="1" fillId="193" borderId="1" xfId="0" applyFont="1" applyFill="1" applyBorder="1" applyAlignment="1">
      <alignment vertical="center"/>
    </xf>
    <xf numFmtId="0" fontId="0" fillId="189" borderId="1" xfId="0" applyFill="1" applyBorder="1" applyAlignment="1" applyProtection="1">
      <protection hidden="1"/>
    </xf>
    <xf numFmtId="0" fontId="0" fillId="182" borderId="1" xfId="0" applyFill="1" applyBorder="1" applyAlignment="1" applyProtection="1">
      <protection hidden="1"/>
    </xf>
    <xf numFmtId="0" fontId="0" fillId="216" borderId="1" xfId="0" applyFill="1" applyBorder="1" applyAlignment="1" applyProtection="1">
      <protection hidden="1"/>
    </xf>
    <xf numFmtId="0" fontId="0" fillId="217" borderId="1" xfId="0" applyFill="1" applyBorder="1" applyAlignment="1" applyProtection="1">
      <protection hidden="1"/>
    </xf>
    <xf numFmtId="0" fontId="1" fillId="185" borderId="1" xfId="0" applyFont="1" applyFill="1" applyBorder="1" applyAlignment="1">
      <alignment vertical="center"/>
    </xf>
    <xf numFmtId="0" fontId="1" fillId="143" borderId="1" xfId="0" applyFont="1" applyFill="1" applyBorder="1" applyAlignment="1">
      <alignment vertical="center"/>
    </xf>
    <xf numFmtId="0" fontId="1" fillId="142" borderId="1" xfId="0" applyFont="1" applyFill="1" applyBorder="1" applyAlignment="1">
      <alignment vertical="center"/>
    </xf>
    <xf numFmtId="0" fontId="1" fillId="187" borderId="1" xfId="0" applyFont="1" applyFill="1" applyBorder="1" applyAlignment="1">
      <alignment vertical="center"/>
    </xf>
    <xf numFmtId="0" fontId="1" fillId="218" borderId="1" xfId="0" applyFont="1" applyFill="1" applyBorder="1" applyAlignment="1">
      <alignment vertical="center"/>
    </xf>
    <xf numFmtId="0" fontId="14" fillId="219" borderId="1" xfId="0" applyFont="1" applyFill="1" applyBorder="1" applyAlignment="1" applyProtection="1">
      <alignment vertical="center"/>
      <protection hidden="1"/>
    </xf>
    <xf numFmtId="0" fontId="14" fillId="220" borderId="1" xfId="0" applyFont="1" applyFill="1" applyBorder="1" applyAlignment="1" applyProtection="1">
      <alignment vertical="center"/>
      <protection hidden="1"/>
    </xf>
    <xf numFmtId="0" fontId="14" fillId="221" borderId="1" xfId="0" applyFont="1" applyFill="1" applyBorder="1" applyAlignment="1" applyProtection="1">
      <alignment vertical="center"/>
      <protection hidden="1"/>
    </xf>
    <xf numFmtId="0" fontId="14" fillId="222" borderId="1" xfId="0" applyFont="1" applyFill="1" applyBorder="1" applyAlignment="1" applyProtection="1">
      <alignment vertical="center"/>
      <protection hidden="1"/>
    </xf>
    <xf numFmtId="0" fontId="1" fillId="223" borderId="1" xfId="0" applyFont="1" applyFill="1" applyBorder="1" applyAlignment="1">
      <alignment vertical="center"/>
    </xf>
    <xf numFmtId="0" fontId="14" fillId="224" borderId="1" xfId="0" applyFont="1" applyFill="1" applyBorder="1" applyAlignment="1" applyProtection="1">
      <alignment vertical="center"/>
      <protection hidden="1"/>
    </xf>
    <xf numFmtId="0" fontId="14" fillId="225" borderId="1" xfId="0" applyFont="1" applyFill="1" applyBorder="1" applyAlignment="1" applyProtection="1">
      <alignment vertical="center"/>
      <protection hidden="1"/>
    </xf>
    <xf numFmtId="0" fontId="14" fillId="226" borderId="1" xfId="0" applyFont="1" applyFill="1" applyBorder="1" applyAlignment="1" applyProtection="1">
      <alignment vertical="center"/>
      <protection hidden="1"/>
    </xf>
    <xf numFmtId="0" fontId="14" fillId="227" borderId="1" xfId="0" applyFont="1" applyFill="1" applyBorder="1" applyAlignment="1" applyProtection="1">
      <alignment vertical="center"/>
      <protection hidden="1"/>
    </xf>
    <xf numFmtId="0" fontId="14" fillId="228" borderId="1" xfId="0" applyFont="1" applyFill="1" applyBorder="1" applyAlignment="1" applyProtection="1">
      <alignment vertical="center"/>
      <protection hidden="1"/>
    </xf>
    <xf numFmtId="0" fontId="14" fillId="229" borderId="1" xfId="0" applyFont="1" applyFill="1" applyBorder="1" applyAlignment="1" applyProtection="1">
      <alignment vertical="center"/>
      <protection hidden="1"/>
    </xf>
    <xf numFmtId="0" fontId="14" fillId="230" borderId="1" xfId="0" applyFont="1" applyFill="1" applyBorder="1" applyAlignment="1" applyProtection="1">
      <alignment vertical="center"/>
      <protection hidden="1"/>
    </xf>
    <xf numFmtId="0" fontId="14" fillId="231" borderId="1" xfId="0" applyFont="1" applyFill="1" applyBorder="1" applyAlignment="1" applyProtection="1">
      <alignment vertical="center"/>
      <protection hidden="1"/>
    </xf>
    <xf numFmtId="0" fontId="14" fillId="232" borderId="1" xfId="0" applyFont="1" applyFill="1" applyBorder="1" applyAlignment="1" applyProtection="1">
      <alignment vertical="center"/>
      <protection hidden="1"/>
    </xf>
    <xf numFmtId="0" fontId="14" fillId="233" borderId="1" xfId="0" applyFont="1" applyFill="1" applyBorder="1" applyAlignment="1" applyProtection="1">
      <alignment vertical="center"/>
      <protection hidden="1"/>
    </xf>
    <xf numFmtId="0" fontId="14" fillId="234" borderId="1" xfId="0" applyFont="1" applyFill="1" applyBorder="1" applyAlignment="1" applyProtection="1">
      <alignment vertical="center"/>
      <protection hidden="1"/>
    </xf>
    <xf numFmtId="0" fontId="14" fillId="235" borderId="1" xfId="0" applyFont="1" applyFill="1" applyBorder="1" applyAlignment="1" applyProtection="1">
      <alignment vertical="center"/>
      <protection hidden="1"/>
    </xf>
    <xf numFmtId="0" fontId="1" fillId="210" borderId="1" xfId="0" applyFont="1" applyFill="1" applyBorder="1" applyAlignment="1">
      <alignment vertical="center"/>
    </xf>
    <xf numFmtId="0" fontId="14" fillId="236" borderId="1" xfId="0" applyFont="1" applyFill="1" applyBorder="1" applyAlignment="1" applyProtection="1">
      <alignment vertical="center"/>
      <protection hidden="1"/>
    </xf>
    <xf numFmtId="0" fontId="14" fillId="237" borderId="1" xfId="0" applyFont="1" applyFill="1" applyBorder="1" applyAlignment="1" applyProtection="1">
      <alignment vertical="center"/>
      <protection hidden="1"/>
    </xf>
    <xf numFmtId="0" fontId="14" fillId="238" borderId="1" xfId="0" applyFont="1" applyFill="1" applyBorder="1" applyAlignment="1" applyProtection="1">
      <alignment vertical="center"/>
      <protection hidden="1"/>
    </xf>
    <xf numFmtId="0" fontId="14" fillId="239" borderId="1" xfId="0" applyFont="1" applyFill="1" applyBorder="1" applyAlignment="1" applyProtection="1">
      <alignment vertical="center"/>
      <protection hidden="1"/>
    </xf>
    <xf numFmtId="0" fontId="1" fillId="240" borderId="1" xfId="0" applyFont="1" applyFill="1" applyBorder="1" applyAlignment="1">
      <alignment vertical="center"/>
    </xf>
    <xf numFmtId="0" fontId="1" fillId="205" borderId="1" xfId="0" applyFont="1" applyFill="1" applyBorder="1" applyAlignment="1">
      <alignment vertical="center"/>
    </xf>
    <xf numFmtId="0" fontId="1" fillId="241" borderId="1" xfId="0" applyFont="1" applyFill="1" applyBorder="1" applyAlignment="1">
      <alignment vertical="center"/>
    </xf>
    <xf numFmtId="0" fontId="14" fillId="242" borderId="1" xfId="0" applyFont="1" applyFill="1" applyBorder="1" applyAlignment="1" applyProtection="1">
      <alignment vertical="center"/>
      <protection hidden="1"/>
    </xf>
    <xf numFmtId="0" fontId="14" fillId="243" borderId="1" xfId="0" applyFont="1" applyFill="1" applyBorder="1" applyAlignment="1" applyProtection="1">
      <alignment vertical="center"/>
      <protection hidden="1"/>
    </xf>
    <xf numFmtId="0" fontId="14" fillId="244" borderId="1" xfId="0" applyFont="1" applyFill="1" applyBorder="1" applyAlignment="1" applyProtection="1">
      <alignment vertical="center"/>
      <protection hidden="1"/>
    </xf>
    <xf numFmtId="0" fontId="14" fillId="245" borderId="1" xfId="0" applyFont="1" applyFill="1" applyBorder="1" applyAlignment="1" applyProtection="1">
      <alignment vertical="center"/>
      <protection hidden="1"/>
    </xf>
    <xf numFmtId="0" fontId="1" fillId="121" borderId="1" xfId="0" applyFont="1" applyFill="1" applyBorder="1" applyAlignment="1">
      <alignment vertical="center"/>
    </xf>
    <xf numFmtId="0" fontId="1" fillId="122" borderId="1" xfId="0" applyFont="1" applyFill="1" applyBorder="1" applyAlignment="1">
      <alignment vertical="center"/>
    </xf>
    <xf numFmtId="0" fontId="1" fillId="123" borderId="1" xfId="0" applyFont="1" applyFill="1" applyBorder="1" applyAlignment="1">
      <alignment vertical="center"/>
    </xf>
    <xf numFmtId="0" fontId="14" fillId="246" borderId="1" xfId="0" applyFont="1" applyFill="1" applyBorder="1" applyAlignment="1" applyProtection="1">
      <alignment vertical="center"/>
      <protection hidden="1"/>
    </xf>
    <xf numFmtId="0" fontId="14" fillId="247" borderId="1" xfId="0" applyFont="1" applyFill="1" applyBorder="1" applyAlignment="1" applyProtection="1">
      <alignment vertical="center"/>
      <protection hidden="1"/>
    </xf>
    <xf numFmtId="0" fontId="14" fillId="248" borderId="1" xfId="0" applyFont="1" applyFill="1" applyBorder="1" applyAlignment="1" applyProtection="1">
      <alignment vertical="center"/>
      <protection hidden="1"/>
    </xf>
    <xf numFmtId="0" fontId="14" fillId="249" borderId="1" xfId="0" applyFont="1" applyFill="1" applyBorder="1" applyAlignment="1" applyProtection="1">
      <alignment vertical="center"/>
      <protection hidden="1"/>
    </xf>
    <xf numFmtId="0" fontId="1" fillId="250" borderId="1" xfId="0" applyFont="1" applyFill="1" applyBorder="1" applyAlignment="1">
      <alignment vertical="center"/>
    </xf>
    <xf numFmtId="0" fontId="1" fillId="199" borderId="1" xfId="0" applyFont="1" applyFill="1" applyBorder="1" applyAlignment="1">
      <alignment vertical="center"/>
    </xf>
    <xf numFmtId="0" fontId="1" fillId="138" borderId="1" xfId="0" applyFont="1" applyFill="1" applyBorder="1" applyAlignment="1">
      <alignment vertical="center"/>
    </xf>
    <xf numFmtId="0" fontId="14" fillId="251" borderId="1" xfId="0" applyFont="1" applyFill="1" applyBorder="1" applyAlignment="1" applyProtection="1">
      <alignment vertical="center"/>
      <protection hidden="1"/>
    </xf>
    <xf numFmtId="0" fontId="14" fillId="252" borderId="1" xfId="0" applyFont="1" applyFill="1" applyBorder="1" applyAlignment="1" applyProtection="1">
      <alignment vertical="center"/>
      <protection hidden="1"/>
    </xf>
    <xf numFmtId="0" fontId="14" fillId="253" borderId="1" xfId="0" applyFont="1" applyFill="1" applyBorder="1" applyAlignment="1" applyProtection="1">
      <alignment vertical="center"/>
      <protection hidden="1"/>
    </xf>
    <xf numFmtId="0" fontId="14" fillId="254" borderId="1" xfId="0" applyFont="1" applyFill="1" applyBorder="1" applyAlignment="1" applyProtection="1">
      <alignment vertical="center"/>
      <protection hidden="1"/>
    </xf>
    <xf numFmtId="0" fontId="1" fillId="255" borderId="1" xfId="0" applyFont="1" applyFill="1" applyBorder="1" applyAlignment="1">
      <alignment vertical="center"/>
    </xf>
    <xf numFmtId="0" fontId="1" fillId="192" borderId="1" xfId="0" applyFont="1" applyFill="1" applyBorder="1" applyAlignment="1">
      <alignment vertical="center"/>
    </xf>
    <xf numFmtId="0" fontId="1" fillId="256" borderId="1" xfId="0" applyFont="1" applyFill="1" applyBorder="1" applyAlignment="1">
      <alignment vertical="center"/>
    </xf>
    <xf numFmtId="0" fontId="14" fillId="257" borderId="1" xfId="0" applyFont="1" applyFill="1" applyBorder="1" applyAlignment="1" applyProtection="1">
      <alignment vertical="center"/>
      <protection hidden="1"/>
    </xf>
    <xf numFmtId="0" fontId="14" fillId="258" borderId="1" xfId="0" applyFont="1" applyFill="1" applyBorder="1" applyAlignment="1" applyProtection="1">
      <alignment vertical="center"/>
      <protection hidden="1"/>
    </xf>
    <xf numFmtId="0" fontId="14" fillId="259" borderId="1" xfId="0" applyFont="1" applyFill="1" applyBorder="1" applyAlignment="1" applyProtection="1">
      <alignment vertical="center"/>
      <protection hidden="1"/>
    </xf>
    <xf numFmtId="0" fontId="14" fillId="260" borderId="1" xfId="0" applyFont="1" applyFill="1" applyBorder="1" applyAlignment="1" applyProtection="1">
      <alignment vertical="center"/>
      <protection hidden="1"/>
    </xf>
    <xf numFmtId="0" fontId="1" fillId="261" borderId="1" xfId="0" applyFont="1" applyFill="1" applyBorder="1" applyAlignment="1">
      <alignment vertical="center"/>
    </xf>
    <xf numFmtId="0" fontId="1" fillId="186" borderId="1" xfId="0" applyFont="1" applyFill="1" applyBorder="1" applyAlignment="1">
      <alignment vertical="center"/>
    </xf>
    <xf numFmtId="0" fontId="1" fillId="262" borderId="1" xfId="0" applyFont="1" applyFill="1" applyBorder="1" applyAlignment="1">
      <alignment vertical="center"/>
    </xf>
    <xf numFmtId="0" fontId="1" fillId="33" borderId="1" xfId="0" applyFont="1" applyFill="1" applyBorder="1" applyAlignment="1">
      <alignment vertical="center"/>
    </xf>
    <xf numFmtId="0" fontId="14" fillId="263" borderId="1" xfId="0" applyFont="1" applyFill="1" applyBorder="1" applyAlignment="1" applyProtection="1">
      <alignment vertical="center"/>
      <protection hidden="1"/>
    </xf>
    <xf numFmtId="0" fontId="14" fillId="264" borderId="1" xfId="0" applyFont="1" applyFill="1" applyBorder="1" applyAlignment="1" applyProtection="1">
      <alignment vertical="center"/>
      <protection hidden="1"/>
    </xf>
    <xf numFmtId="0" fontId="14" fillId="265" borderId="1" xfId="0" applyFont="1" applyFill="1" applyBorder="1" applyAlignment="1" applyProtection="1">
      <alignment vertical="center"/>
      <protection hidden="1"/>
    </xf>
    <xf numFmtId="0" fontId="14" fillId="266" borderId="1" xfId="0" applyFont="1" applyFill="1" applyBorder="1" applyAlignment="1" applyProtection="1">
      <alignment vertical="center"/>
      <protection hidden="1"/>
    </xf>
    <xf numFmtId="0" fontId="14" fillId="267" borderId="1" xfId="0" applyFont="1" applyFill="1" applyBorder="1" applyAlignment="1" applyProtection="1">
      <alignment vertical="center"/>
      <protection hidden="1"/>
    </xf>
    <xf numFmtId="0" fontId="15" fillId="8" borderId="1" xfId="0" applyFont="1" applyFill="1" applyBorder="1" applyAlignment="1" applyProtection="1">
      <alignment vertical="center"/>
      <protection hidden="1"/>
    </xf>
    <xf numFmtId="0" fontId="1" fillId="109" borderId="1" xfId="0" applyFont="1" applyFill="1" applyBorder="1" applyAlignment="1">
      <alignment vertical="center"/>
    </xf>
    <xf numFmtId="0" fontId="1" fillId="140" borderId="1" xfId="0" applyFont="1" applyFill="1" applyBorder="1" applyAlignment="1">
      <alignment vertical="center"/>
    </xf>
    <xf numFmtId="0" fontId="14" fillId="268" borderId="1" xfId="0" applyFont="1" applyFill="1" applyBorder="1" applyAlignment="1" applyProtection="1">
      <alignment vertical="center"/>
      <protection hidden="1"/>
    </xf>
    <xf numFmtId="0" fontId="14" fillId="269" borderId="1" xfId="0" applyFont="1" applyFill="1" applyBorder="1" applyAlignment="1" applyProtection="1">
      <alignment vertical="center"/>
      <protection hidden="1"/>
    </xf>
    <xf numFmtId="0" fontId="1" fillId="114" borderId="1" xfId="0" applyFont="1" applyFill="1" applyBorder="1" applyAlignment="1">
      <alignment vertical="center"/>
    </xf>
    <xf numFmtId="0" fontId="1" fillId="147" borderId="1" xfId="0" applyFont="1" applyFill="1" applyBorder="1" applyAlignment="1">
      <alignment vertical="center"/>
    </xf>
    <xf numFmtId="0" fontId="14" fillId="270" borderId="1" xfId="0" applyFont="1" applyFill="1" applyBorder="1" applyAlignment="1" applyProtection="1">
      <alignment vertical="center"/>
      <protection hidden="1"/>
    </xf>
    <xf numFmtId="0" fontId="14" fillId="271" borderId="1" xfId="0" applyFont="1" applyFill="1" applyBorder="1" applyAlignment="1" applyProtection="1">
      <alignment vertical="center"/>
      <protection hidden="1"/>
    </xf>
    <xf numFmtId="0" fontId="1" fillId="117" borderId="1" xfId="0" applyFont="1" applyFill="1" applyBorder="1" applyAlignment="1">
      <alignment vertical="center"/>
    </xf>
    <xf numFmtId="0" fontId="1" fillId="155" borderId="1" xfId="0" applyFont="1" applyFill="1" applyBorder="1" applyAlignment="1">
      <alignment vertical="center"/>
    </xf>
    <xf numFmtId="0" fontId="14" fillId="272" borderId="1" xfId="0" applyFont="1" applyFill="1" applyBorder="1" applyAlignment="1" applyProtection="1">
      <alignment vertical="center"/>
      <protection hidden="1"/>
    </xf>
    <xf numFmtId="0" fontId="14" fillId="273" borderId="1" xfId="0" applyFont="1" applyFill="1" applyBorder="1" applyAlignment="1" applyProtection="1">
      <alignment vertical="center"/>
      <protection hidden="1"/>
    </xf>
    <xf numFmtId="0" fontId="1" fillId="125" borderId="1" xfId="0" applyFont="1" applyFill="1" applyBorder="1" applyAlignment="1">
      <alignment vertical="center"/>
    </xf>
    <xf numFmtId="0" fontId="1" fillId="163" borderId="1" xfId="0" applyFont="1" applyFill="1" applyBorder="1" applyAlignment="1">
      <alignment vertical="center"/>
    </xf>
    <xf numFmtId="0" fontId="14" fillId="274" borderId="1" xfId="0" applyFont="1" applyFill="1" applyBorder="1" applyAlignment="1" applyProtection="1">
      <alignment vertical="center"/>
      <protection hidden="1"/>
    </xf>
    <xf numFmtId="0" fontId="14" fillId="275" borderId="1" xfId="0" applyFont="1" applyFill="1" applyBorder="1" applyAlignment="1" applyProtection="1">
      <alignment vertical="center"/>
      <protection hidden="1"/>
    </xf>
    <xf numFmtId="0" fontId="1" fillId="133" borderId="1" xfId="0" applyFont="1" applyFill="1" applyBorder="1" applyAlignment="1">
      <alignment vertical="center"/>
    </xf>
    <xf numFmtId="0" fontId="1" fillId="168" borderId="1" xfId="0" applyFont="1" applyFill="1" applyBorder="1" applyAlignment="1">
      <alignment vertical="center"/>
    </xf>
    <xf numFmtId="0" fontId="14" fillId="276" borderId="1" xfId="0" applyFont="1" applyFill="1" applyBorder="1" applyAlignment="1" applyProtection="1">
      <alignment vertical="center"/>
      <protection hidden="1"/>
    </xf>
    <xf numFmtId="0" fontId="14" fillId="277" borderId="1" xfId="0" applyFont="1" applyFill="1" applyBorder="1" applyAlignment="1" applyProtection="1">
      <alignment vertical="center"/>
      <protection hidden="1"/>
    </xf>
    <xf numFmtId="0" fontId="1" fillId="278" borderId="1" xfId="0" applyFont="1" applyFill="1" applyBorder="1" applyAlignment="1">
      <alignment vertical="center"/>
    </xf>
    <xf numFmtId="0" fontId="1" fillId="279" borderId="1" xfId="0" applyFont="1" applyFill="1" applyBorder="1" applyAlignment="1">
      <alignment vertical="center"/>
    </xf>
    <xf numFmtId="0" fontId="14" fillId="280" borderId="1" xfId="0" applyFont="1" applyFill="1" applyBorder="1" applyAlignment="1" applyProtection="1">
      <alignment vertical="center"/>
      <protection hidden="1"/>
    </xf>
    <xf numFmtId="0" fontId="14" fillId="281" borderId="1" xfId="0" applyFont="1" applyFill="1" applyBorder="1" applyAlignment="1" applyProtection="1">
      <alignment vertical="center"/>
      <protection hidden="1"/>
    </xf>
    <xf numFmtId="0" fontId="1" fillId="282" borderId="1" xfId="0" applyFont="1" applyFill="1" applyBorder="1" applyAlignment="1">
      <alignment vertical="center"/>
    </xf>
    <xf numFmtId="0" fontId="1" fillId="283" borderId="1" xfId="0" applyFont="1" applyFill="1" applyBorder="1" applyAlignment="1">
      <alignment vertical="center"/>
    </xf>
    <xf numFmtId="0" fontId="14" fillId="284" borderId="1" xfId="0" applyFont="1" applyFill="1" applyBorder="1" applyAlignment="1" applyProtection="1">
      <alignment vertical="center"/>
      <protection hidden="1"/>
    </xf>
    <xf numFmtId="0" fontId="14" fillId="285" borderId="1" xfId="0" applyFont="1" applyFill="1" applyBorder="1" applyAlignment="1" applyProtection="1">
      <alignment vertical="center"/>
      <protection hidden="1"/>
    </xf>
    <xf numFmtId="0" fontId="1" fillId="286" borderId="1" xfId="0" applyFont="1" applyFill="1" applyBorder="1" applyAlignment="1">
      <alignment vertical="center"/>
    </xf>
    <xf numFmtId="0" fontId="1" fillId="135" borderId="1" xfId="0" applyFont="1" applyFill="1" applyBorder="1" applyAlignment="1">
      <alignment vertical="center"/>
    </xf>
    <xf numFmtId="0" fontId="14" fillId="287" borderId="1" xfId="0" applyFont="1" applyFill="1" applyBorder="1" applyAlignment="1" applyProtection="1">
      <alignment vertical="center"/>
      <protection hidden="1"/>
    </xf>
    <xf numFmtId="0" fontId="14" fillId="288" borderId="1" xfId="0" applyFont="1" applyFill="1" applyBorder="1" applyAlignment="1" applyProtection="1">
      <alignment vertical="center"/>
      <protection hidden="1"/>
    </xf>
    <xf numFmtId="0" fontId="1" fillId="289" borderId="1" xfId="0" applyFont="1" applyFill="1" applyBorder="1" applyAlignment="1">
      <alignment vertical="center"/>
    </xf>
    <xf numFmtId="0" fontId="1" fillId="290" borderId="1" xfId="0" applyFont="1" applyFill="1" applyBorder="1" applyAlignment="1">
      <alignment vertical="center"/>
    </xf>
    <xf numFmtId="0" fontId="14" fillId="291" borderId="1" xfId="0" applyFont="1" applyFill="1" applyBorder="1" applyAlignment="1" applyProtection="1">
      <alignment vertical="center"/>
      <protection hidden="1"/>
    </xf>
    <xf numFmtId="0" fontId="14" fillId="292" borderId="1" xfId="0" applyFont="1" applyFill="1" applyBorder="1" applyAlignment="1" applyProtection="1">
      <alignment vertical="center"/>
      <protection hidden="1"/>
    </xf>
    <xf numFmtId="0" fontId="1" fillId="293" borderId="1" xfId="0" applyFont="1" applyFill="1" applyBorder="1" applyAlignment="1">
      <alignment vertical="center"/>
    </xf>
    <xf numFmtId="0" fontId="1" fillId="294" borderId="1" xfId="0" applyFont="1" applyFill="1" applyBorder="1" applyAlignment="1">
      <alignment vertical="center"/>
    </xf>
    <xf numFmtId="0" fontId="16" fillId="0" borderId="0" xfId="0" applyFont="1">
      <alignment vertical="center"/>
    </xf>
    <xf numFmtId="0" fontId="9" fillId="0" borderId="0" xfId="0" applyFont="1" quotePrefix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超链接 2 2" xfId="36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超链接 2" xfId="51"/>
  </cellStyles>
  <tableStyles count="0" defaultTableStyle="TableStyleMedium2" defaultPivotStyle="PivotStyleLight16"/>
  <colors>
    <mruColors>
      <color rgb="00A50F15"/>
      <color rgb="00EEEC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CheckBox" checked="Checked" fmlaLink="$Q$7" noThreeD="1" val="0"/>
</file>

<file path=xl/ctrlProps/ctrlProp3.xml><?xml version="1.0" encoding="utf-8"?>
<formControlPr xmlns="http://schemas.microsoft.com/office/spreadsheetml/2009/9/main" objectType="CheckBox" fmlaLink="$O$7" noThreeD="1" val="0"/>
</file>

<file path=xl/ctrlProps/ctrlProp4.xml><?xml version="1.0" encoding="utf-8"?>
<formControlPr xmlns="http://schemas.microsoft.com/office/spreadsheetml/2009/9/main" objectType="Scroll" dx="22" fmlaLink="$J$7" horiz="1" max="35" min="1" val="3"/>
</file>

<file path=xl/ctrlProps/ctrlProp5.xml><?xml version="1.0" encoding="utf-8"?>
<formControlPr xmlns="http://schemas.microsoft.com/office/spreadsheetml/2009/9/main" objectType="Drop" dropLines="20" dx="22" fmlaLink="$J$7" fmlaRange="$CF$25:$CF$59" max="15" noThreeD="1" page="20" sel="3" val="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[0]!fill_colo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174865" y="1133475"/>
              <a:ext cx="600075" cy="16192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填色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267970</xdr:colOff>
          <xdr:row>16</xdr:row>
          <xdr:rowOff>100965</xdr:rowOff>
        </xdr:from>
        <xdr:to>
          <xdr:col>14</xdr:col>
          <xdr:colOff>353695</xdr:colOff>
          <xdr:row>45</xdr:row>
          <xdr:rowOff>112730</xdr:rowOff>
        </xdr:to>
        <xdr:pic>
          <xdr:nvPicPr>
            <xdr:cNvPr id="3" name="图片 2"/>
            <xdr:cNvPicPr>
              <a:picLocks noChangeAspect="1" noChangeArrowheads="1"/>
              <a:extLst>
                <a:ext uri="{84589F7E-364E-4C9E-8A38-B11213B215E9}">
                  <a14:cameraTool cellRange="map!$B$4:$J$32" spid="_x0000_s1081"/>
                </a:ext>
              </a:extLst>
            </xdr:cNvPicPr>
          </xdr:nvPicPr>
          <xdr:blipFill>
            <a:blip r:embed="rId1"/>
            <a:srcRect/>
            <a:stretch>
              <a:fillRect/>
            </a:stretch>
          </xdr:blipFill>
          <xdr:spPr>
            <a:xfrm>
              <a:off x="3268345" y="2691765"/>
              <a:ext cx="5460365" cy="4707255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9575165" y="1133475"/>
              <a:ext cx="600075" cy="161925"/>
            </a:xfrm>
            <a:prstGeom prst="rect">
              <a:avLst/>
            </a:prstGeom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显示数值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8375015" y="1133475"/>
              <a:ext cx="600075" cy="161925"/>
            </a:xfrm>
            <a:prstGeom prst="rect">
              <a:avLst/>
            </a:prstGeom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显示省名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48986</xdr:colOff>
          <xdr:row>4</xdr:row>
          <xdr:rowOff>119743</xdr:rowOff>
        </xdr:from>
        <xdr:to>
          <xdr:col>9</xdr:col>
          <xdr:colOff>892629</xdr:colOff>
          <xdr:row>6</xdr:row>
          <xdr:rowOff>146957</xdr:rowOff>
        </xdr:to>
        <xdr:sp macro="[0]!change_color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4859655" y="767080"/>
              <a:ext cx="1002030" cy="3511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370114</xdr:colOff>
          <xdr:row>7</xdr:row>
          <xdr:rowOff>0</xdr:rowOff>
        </xdr:from>
        <xdr:to>
          <xdr:col>9</xdr:col>
          <xdr:colOff>887186</xdr:colOff>
          <xdr:row>8</xdr:row>
          <xdr:rowOff>0</xdr:rowOff>
        </xdr:to>
        <xdr:sp macro="[0]!change_color">
          <xdr:nvSpPr>
            <xdr:cNvPr id="1078" name="Drop Dow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5339080" y="1133475"/>
              <a:ext cx="517525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/>
        <xdr:cNvGrpSpPr/>
      </xdr:nvGrpSpPr>
      <xdr:grpSpPr>
        <a:xfrm>
          <a:off x="752475" y="590550"/>
          <a:ext cx="4953000" cy="4133850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textlink="data!E24">
        <xdr:nvSpPr>
          <xdr:cNvPr id="2" name="江西"/>
          <xdr:cNvSpPr/>
        </xdr:nvSpPr>
        <xdr:spPr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>
        <xdr:nvSpPr>
          <xdr:cNvPr id="3" name="Freeform 75"/>
          <xdr:cNvSpPr>
            <a:spLocks noEditPoints="1"/>
          </xdr:cNvSpPr>
        </xdr:nvSpPr>
        <xdr:spPr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</a:ln>
        </xdr:spPr>
      </xdr:sp>
      <xdr:sp textlink="data!E19">
        <xdr:nvSpPr>
          <xdr:cNvPr id="4" name="上海"/>
          <xdr:cNvSpPr>
            <a:spLocks noEditPoints="1"/>
          </xdr:cNvSpPr>
        </xdr:nvSpPr>
        <xdr:spPr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43A2CA"/>
          </a:solidFill>
          <a:ln w="3175">
            <a:solidFill>
              <a:srgbClr val="808080"/>
            </a:solidFill>
            <a:rou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8">
        <xdr:nvSpPr>
          <xdr:cNvPr id="5" name="黑龙江"/>
          <xdr:cNvSpPr/>
        </xdr:nvSpPr>
        <xdr:spPr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7">
        <xdr:nvSpPr>
          <xdr:cNvPr id="6" name="湖北"/>
          <xdr:cNvSpPr/>
        </xdr:nvSpPr>
        <xdr:spPr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7BCCC4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5">
        <xdr:nvSpPr>
          <xdr:cNvPr id="7" name="山东"/>
          <xdr:cNvSpPr/>
        </xdr:nvSpPr>
        <xdr:spPr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2">
        <xdr:nvSpPr>
          <xdr:cNvPr id="8" name="安徽"/>
          <xdr:cNvSpPr/>
        </xdr:nvSpPr>
        <xdr:spPr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4">
        <xdr:nvSpPr>
          <xdr:cNvPr id="9" name="山西"/>
          <xdr:cNvSpPr/>
        </xdr:nvSpPr>
        <xdr:spPr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7">
        <xdr:nvSpPr>
          <xdr:cNvPr id="10" name="吉林"/>
          <xdr:cNvSpPr/>
        </xdr:nvSpPr>
        <xdr:spPr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8">
        <xdr:nvSpPr>
          <xdr:cNvPr id="11" name="湖南"/>
          <xdr:cNvSpPr/>
        </xdr:nvSpPr>
        <xdr:spPr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0">
        <xdr:nvSpPr>
          <xdr:cNvPr id="12" name="江苏"/>
          <xdr:cNvSpPr/>
        </xdr:nvSpPr>
        <xdr:spPr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7BCCC4"/>
          </a:solidFill>
          <a:ln w="3175">
            <a:solidFill>
              <a:srgbClr val="808080"/>
            </a:solidFill>
            <a:rou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3">
        <xdr:nvSpPr>
          <xdr:cNvPr id="13" name="福建"/>
          <xdr:cNvSpPr/>
        </xdr:nvSpPr>
        <xdr:spPr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7BCCC4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6">
        <xdr:nvSpPr>
          <xdr:cNvPr id="14" name="河南"/>
          <xdr:cNvSpPr/>
        </xdr:nvSpPr>
        <xdr:spPr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6">
        <xdr:nvSpPr>
          <xdr:cNvPr id="15" name="辽宁"/>
          <xdr:cNvSpPr>
            <a:spLocks noEditPoints="1"/>
          </xdr:cNvSpPr>
        </xdr:nvSpPr>
        <xdr:spPr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1">
        <xdr:nvSpPr>
          <xdr:cNvPr id="16" name="浙江"/>
          <xdr:cNvSpPr/>
        </xdr:nvSpPr>
        <xdr:spPr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43A2CA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29">
        <xdr:nvSpPr>
          <xdr:cNvPr id="17" name="广东"/>
          <xdr:cNvSpPr>
            <a:spLocks noEditPoints="1"/>
          </xdr:cNvSpPr>
        </xdr:nvSpPr>
        <xdr:spPr>
          <a:xfrm>
            <a:off x="3848100" y="3886200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0868A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2">
        <xdr:nvSpPr>
          <xdr:cNvPr id="18" name="天津"/>
          <xdr:cNvSpPr/>
        </xdr:nvSpPr>
        <xdr:spPr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D15727FA-4A3C-42B6-AB9D-F423E9DB941F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1">
        <xdr:nvSpPr>
          <xdr:cNvPr id="19" name="北京"/>
          <xdr:cNvSpPr/>
        </xdr:nvSpPr>
        <xdr:spPr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0868A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3">
        <xdr:nvSpPr>
          <xdr:cNvPr id="20" name="河北"/>
          <xdr:cNvSpPr>
            <a:spLocks noEditPoints="1"/>
          </xdr:cNvSpPr>
        </xdr:nvSpPr>
        <xdr:spPr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15">
        <xdr:nvSpPr>
          <xdr:cNvPr id="21" name="内蒙古"/>
          <xdr:cNvSpPr/>
        </xdr:nvSpPr>
        <xdr:spPr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7">
        <xdr:nvSpPr>
          <xdr:cNvPr id="22" name="陕西"/>
          <xdr:cNvSpPr/>
        </xdr:nvSpPr>
        <xdr:spPr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2">
        <xdr:nvSpPr>
          <xdr:cNvPr id="23" name="重庆"/>
          <xdr:cNvSpPr/>
        </xdr:nvSpPr>
        <xdr:spPr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0">
        <xdr:nvSpPr>
          <xdr:cNvPr id="24" name="广西"/>
          <xdr:cNvSpPr/>
        </xdr:nvSpPr>
        <xdr:spPr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5">
        <xdr:nvSpPr>
          <xdr:cNvPr id="25" name="云南"/>
          <xdr:cNvSpPr/>
        </xdr:nvSpPr>
        <xdr:spPr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9">
        <xdr:nvSpPr>
          <xdr:cNvPr id="26" name="青海"/>
          <xdr:cNvSpPr/>
        </xdr:nvSpPr>
        <xdr:spPr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6">
        <xdr:nvSpPr>
          <xdr:cNvPr id="27" name="西藏"/>
          <xdr:cNvSpPr/>
        </xdr:nvSpPr>
        <xdr:spPr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41">
        <xdr:nvSpPr>
          <xdr:cNvPr id="28" name="新疆"/>
          <xdr:cNvSpPr/>
        </xdr:nvSpPr>
        <xdr:spPr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40">
        <xdr:nvSpPr>
          <xdr:cNvPr id="29" name="宁夏"/>
          <xdr:cNvSpPr/>
        </xdr:nvSpPr>
        <xdr:spPr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8">
        <xdr:nvSpPr>
          <xdr:cNvPr id="30" name="甘肃"/>
          <xdr:cNvSpPr/>
        </xdr:nvSpPr>
        <xdr:spPr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3">
        <xdr:nvSpPr>
          <xdr:cNvPr id="31" name="四川"/>
          <xdr:cNvSpPr/>
        </xdr:nvSpPr>
        <xdr:spPr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7BCCC4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4">
        <xdr:nvSpPr>
          <xdr:cNvPr id="32" name="贵州"/>
          <xdr:cNvSpPr/>
        </xdr:nvSpPr>
        <xdr:spPr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>
        <xdr:nvSpPr>
          <xdr:cNvPr id="33" name="Freeform 105"/>
          <xdr:cNvSpPr/>
        </xdr:nvSpPr>
        <xdr:spPr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</a:ln>
        </xdr:spPr>
      </xdr:sp>
      <xdr:sp textlink="data!E42">
        <xdr:nvSpPr>
          <xdr:cNvPr id="34" name="台湾"/>
          <xdr:cNvSpPr/>
        </xdr:nvSpPr>
        <xdr:spPr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rgbClr val="F0F9E8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31">
        <xdr:nvSpPr>
          <xdr:cNvPr id="35" name="海南"/>
          <xdr:cNvSpPr/>
        </xdr:nvSpPr>
        <xdr:spPr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rgbClr val="BAE4BC"/>
          </a:solidFill>
          <a:ln w="3175">
            <a:solidFill>
              <a:srgbClr val="808080"/>
            </a:solidFill>
            <a:rou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>
        <xdr:nvSpPr>
          <xdr:cNvPr id="36" name="Freeform 108"/>
          <xdr:cNvSpPr/>
        </xdr:nvSpPr>
        <xdr:spPr>
          <a:xfrm>
            <a:off x="4953000" y="3095625"/>
            <a:ext cx="76200" cy="38100"/>
          </a:xfrm>
          <a:custGeom>
            <a:avLst/>
            <a:gdLst>
              <a:gd name="T0" fmla="*/ 41796 w 268"/>
              <a:gd name="T1" fmla="*/ 30707 h 134"/>
              <a:gd name="T2" fmla="*/ 36678 w 268"/>
              <a:gd name="T3" fmla="*/ 28717 h 134"/>
              <a:gd name="T4" fmla="*/ 29570 w 268"/>
              <a:gd name="T5" fmla="*/ 26443 h 134"/>
              <a:gd name="T6" fmla="*/ 22462 w 268"/>
              <a:gd name="T7" fmla="*/ 24168 h 134"/>
              <a:gd name="T8" fmla="*/ 17344 w 268"/>
              <a:gd name="T9" fmla="*/ 21609 h 134"/>
              <a:gd name="T10" fmla="*/ 14216 w 268"/>
              <a:gd name="T11" fmla="*/ 19334 h 134"/>
              <a:gd name="T12" fmla="*/ 11657 w 268"/>
              <a:gd name="T13" fmla="*/ 17060 h 134"/>
              <a:gd name="T14" fmla="*/ 9667 w 268"/>
              <a:gd name="T15" fmla="*/ 14785 h 134"/>
              <a:gd name="T16" fmla="*/ 7108 w 268"/>
              <a:gd name="T17" fmla="*/ 13648 h 134"/>
              <a:gd name="T18" fmla="*/ 4834 w 268"/>
              <a:gd name="T19" fmla="*/ 12510 h 134"/>
              <a:gd name="T20" fmla="*/ 2843 w 268"/>
              <a:gd name="T21" fmla="*/ 11942 h 134"/>
              <a:gd name="T22" fmla="*/ 1137 w 268"/>
              <a:gd name="T23" fmla="*/ 10804 h 134"/>
              <a:gd name="T24" fmla="*/ 569 w 268"/>
              <a:gd name="T25" fmla="*/ 9383 h 134"/>
              <a:gd name="T26" fmla="*/ 0 w 268"/>
              <a:gd name="T27" fmla="*/ 8814 h 134"/>
              <a:gd name="T28" fmla="*/ 0 w 268"/>
              <a:gd name="T29" fmla="*/ 7961 h 134"/>
              <a:gd name="T30" fmla="*/ 569 w 268"/>
              <a:gd name="T31" fmla="*/ 7108 h 134"/>
              <a:gd name="T32" fmla="*/ 853 w 268"/>
              <a:gd name="T33" fmla="*/ 6255 h 134"/>
              <a:gd name="T34" fmla="*/ 2559 w 268"/>
              <a:gd name="T35" fmla="*/ 4549 h 134"/>
              <a:gd name="T36" fmla="*/ 4549 w 268"/>
              <a:gd name="T37" fmla="*/ 2843 h 134"/>
              <a:gd name="T38" fmla="*/ 6255 w 268"/>
              <a:gd name="T39" fmla="*/ 1990 h 134"/>
              <a:gd name="T40" fmla="*/ 8246 w 268"/>
              <a:gd name="T41" fmla="*/ 1422 h 134"/>
              <a:gd name="T42" fmla="*/ 10520 w 268"/>
              <a:gd name="T43" fmla="*/ 853 h 134"/>
              <a:gd name="T44" fmla="*/ 13079 w 268"/>
              <a:gd name="T45" fmla="*/ 284 h 134"/>
              <a:gd name="T46" fmla="*/ 15354 w 268"/>
              <a:gd name="T47" fmla="*/ 0 h 134"/>
              <a:gd name="T48" fmla="*/ 17628 w 268"/>
              <a:gd name="T49" fmla="*/ 0 h 134"/>
              <a:gd name="T50" fmla="*/ 19619 w 268"/>
              <a:gd name="T51" fmla="*/ 284 h 134"/>
              <a:gd name="T52" fmla="*/ 21040 w 268"/>
              <a:gd name="T53" fmla="*/ 1422 h 134"/>
              <a:gd name="T54" fmla="*/ 23599 w 268"/>
              <a:gd name="T55" fmla="*/ 3696 h 134"/>
              <a:gd name="T56" fmla="*/ 25874 w 268"/>
              <a:gd name="T57" fmla="*/ 5687 h 134"/>
              <a:gd name="T58" fmla="*/ 28433 w 268"/>
              <a:gd name="T59" fmla="*/ 7393 h 134"/>
              <a:gd name="T60" fmla="*/ 31560 w 268"/>
              <a:gd name="T61" fmla="*/ 8814 h 134"/>
              <a:gd name="T62" fmla="*/ 34972 w 268"/>
              <a:gd name="T63" fmla="*/ 9951 h 134"/>
              <a:gd name="T64" fmla="*/ 38384 w 268"/>
              <a:gd name="T65" fmla="*/ 11089 h 134"/>
              <a:gd name="T66" fmla="*/ 39806 w 268"/>
              <a:gd name="T67" fmla="*/ 11942 h 134"/>
              <a:gd name="T68" fmla="*/ 40943 w 268"/>
              <a:gd name="T69" fmla="*/ 12510 h 134"/>
              <a:gd name="T70" fmla="*/ 42081 w 268"/>
              <a:gd name="T71" fmla="*/ 13648 h 134"/>
              <a:gd name="T72" fmla="*/ 42934 w 268"/>
              <a:gd name="T73" fmla="*/ 14785 h 134"/>
              <a:gd name="T74" fmla="*/ 44355 w 268"/>
              <a:gd name="T75" fmla="*/ 16207 h 134"/>
              <a:gd name="T76" fmla="*/ 45777 w 268"/>
              <a:gd name="T77" fmla="*/ 17344 h 134"/>
              <a:gd name="T78" fmla="*/ 47767 w 268"/>
              <a:gd name="T79" fmla="*/ 18766 h 134"/>
              <a:gd name="T80" fmla="*/ 50042 w 268"/>
              <a:gd name="T81" fmla="*/ 19619 h 134"/>
              <a:gd name="T82" fmla="*/ 54591 w 268"/>
              <a:gd name="T83" fmla="*/ 21325 h 134"/>
              <a:gd name="T84" fmla="*/ 59425 w 268"/>
              <a:gd name="T85" fmla="*/ 22746 h 134"/>
              <a:gd name="T86" fmla="*/ 63690 w 268"/>
              <a:gd name="T87" fmla="*/ 23599 h 134"/>
              <a:gd name="T88" fmla="*/ 68807 w 268"/>
              <a:gd name="T89" fmla="*/ 24737 h 134"/>
              <a:gd name="T90" fmla="*/ 71082 w 268"/>
              <a:gd name="T91" fmla="*/ 25021 h 134"/>
              <a:gd name="T92" fmla="*/ 73072 w 268"/>
              <a:gd name="T93" fmla="*/ 25874 h 134"/>
              <a:gd name="T94" fmla="*/ 74494 w 268"/>
              <a:gd name="T95" fmla="*/ 26727 h 134"/>
              <a:gd name="T96" fmla="*/ 75916 w 268"/>
              <a:gd name="T97" fmla="*/ 28149 h 134"/>
              <a:gd name="T98" fmla="*/ 76200 w 268"/>
              <a:gd name="T99" fmla="*/ 29570 h 134"/>
              <a:gd name="T100" fmla="*/ 76200 w 268"/>
              <a:gd name="T101" fmla="*/ 31276 h 134"/>
              <a:gd name="T102" fmla="*/ 75916 w 268"/>
              <a:gd name="T103" fmla="*/ 32413 h 134"/>
              <a:gd name="T104" fmla="*/ 74778 w 268"/>
              <a:gd name="T105" fmla="*/ 33835 h 134"/>
              <a:gd name="T106" fmla="*/ 72504 w 268"/>
              <a:gd name="T107" fmla="*/ 36110 h 134"/>
              <a:gd name="T108" fmla="*/ 69660 w 268"/>
              <a:gd name="T109" fmla="*/ 37816 h 134"/>
              <a:gd name="T110" fmla="*/ 67954 w 268"/>
              <a:gd name="T111" fmla="*/ 38100 h 134"/>
              <a:gd name="T112" fmla="*/ 65111 w 268"/>
              <a:gd name="T113" fmla="*/ 37816 h 134"/>
              <a:gd name="T114" fmla="*/ 61415 w 268"/>
              <a:gd name="T115" fmla="*/ 37247 h 134"/>
              <a:gd name="T116" fmla="*/ 56866 w 268"/>
              <a:gd name="T117" fmla="*/ 35825 h 134"/>
              <a:gd name="T118" fmla="*/ 48051 w 268"/>
              <a:gd name="T119" fmla="*/ 33266 h 134"/>
              <a:gd name="T120" fmla="*/ 41796 w 268"/>
              <a:gd name="T121" fmla="*/ 30707 h 13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</a:ln>
        </xdr:spPr>
      </xdr:sp>
      <xdr:sp>
        <xdr:nvSpPr>
          <xdr:cNvPr id="37" name="Freeform 109"/>
          <xdr:cNvSpPr/>
        </xdr:nvSpPr>
        <xdr:spPr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</a:ln>
        </xdr:spPr>
      </xdr:sp>
      <xdr:sp>
        <xdr:nvSpPr>
          <xdr:cNvPr id="38" name="Freeform 110"/>
          <xdr:cNvSpPr/>
        </xdr:nvSpPr>
        <xdr:spPr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</a:ln>
        </xdr:spPr>
      </xdr:sp>
      <xdr:sp textlink="data!E44">
        <xdr:nvSpPr>
          <xdr:cNvPr id="39" name="澳门"/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F0F9E8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</a:ln>
        </xdr:spPr>
        <xdr:txBody>
          <a:bodyPr vertOverflow="clip" horzOverflow="clip" wrap="none" rtlCol="0" anchor="ctr"/>
          <a:lstStyle/>
          <a:p>
            <a:pPr algn="ctr"/>
            <a:fld id="{FAD4FCA2-3388-46DB-B28C-D0AF2D04DA4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</xdr:txBody>
      </xdr:sp>
      <xdr:sp textlink="data!E43">
        <xdr:nvSpPr>
          <xdr:cNvPr id="40" name="香港"/>
          <xdr:cNvSpPr/>
        </xdr:nvSpPr>
        <xdr:spPr>
          <a:xfrm>
            <a:off x="4337307" y="4286250"/>
            <a:ext cx="3600" cy="3600"/>
          </a:xfrm>
          <a:prstGeom prst="rect">
            <a:avLst/>
          </a:prstGeom>
          <a:solidFill>
            <a:srgbClr val="F0F9E8">
              <a:alpha val="5000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</a:ln>
        </xdr:spPr>
        <xdr:txBody>
          <a:bodyPr vertOverflow="clip" horzOverflow="clip" wrap="none" rtlCol="0" anchor="ctr"/>
          <a:lstStyle/>
          <a:p>
            <a:pPr marL="0" indent="0" algn="ctr"/>
            <a:fld id="{ED8B05D0-B3F2-4888-A143-A6C18243D00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 panose="020B0604020202020204"/>
                <a:ea typeface="+mn-ea"/>
                <a:cs typeface="Arial" panose="020B0604020202020204"/>
              </a:rPr>
            </a:fld>
            <a:endParaRPr lang="zh-CN" altLang="en-US" sz="800" b="0" i="0" u="none" strike="noStrike">
              <a:solidFill>
                <a:sysClr val="windowText" lastClr="000000"/>
              </a:solidFill>
              <a:latin typeface="Arial" panose="020B0604020202020204"/>
              <a:ea typeface="+mn-ea"/>
              <a:cs typeface="Arial" panose="020B0604020202020204"/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/>
        <xdr:cNvGrpSpPr/>
      </xdr:nvGrpSpPr>
      <xdr:grpSpPr>
        <a:xfrm>
          <a:off x="5305425" y="3886200"/>
          <a:ext cx="600075" cy="866775"/>
          <a:chOff x="5486400" y="4210050"/>
          <a:chExt cx="609600" cy="866775"/>
        </a:xfrm>
        <a:noFill/>
      </xdr:grpSpPr>
      <xdr:sp>
        <xdr:nvSpPr>
          <xdr:cNvPr id="42" name="Freeform 70"/>
          <xdr:cNvSpPr/>
        </xdr:nvSpPr>
        <xdr:spPr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</xdr:txBody>
      </xdr:sp>
      <xdr:sp>
        <xdr:nvSpPr>
          <xdr:cNvPr id="43" name="Freeform 71"/>
          <xdr:cNvSpPr>
            <a:spLocks noEditPoints="1"/>
          </xdr:cNvSpPr>
        </xdr:nvSpPr>
        <xdr:spPr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</xdr:txBody>
      </xdr:sp>
      <xdr:sp>
        <xdr:nvSpPr>
          <xdr:cNvPr id="44" name="Freeform 72"/>
          <xdr:cNvSpPr/>
        </xdr:nvSpPr>
        <xdr:spPr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 panose="02010600030101010101" pitchFamily="7" charset="-122"/>
              <a:ea typeface="宋体" panose="02010600030101010101" pitchFamily="7" charset="-122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335915</xdr:colOff>
          <xdr:row>22</xdr:row>
          <xdr:rowOff>83820</xdr:rowOff>
        </xdr:from>
        <xdr:to>
          <xdr:col>3</xdr:col>
          <xdr:colOff>285569</xdr:colOff>
          <xdr:row>27</xdr:row>
          <xdr:rowOff>64910</xdr:rowOff>
        </xdr:to>
        <xdr:pic>
          <xdr:nvPicPr>
            <xdr:cNvPr id="45" name="图片 44"/>
            <xdr:cNvPicPr>
              <a:picLocks noChangeAspect="1" noChangeArrowheads="1"/>
              <a:extLst>
                <a:ext uri="{84589F7E-364E-4C9E-8A38-B11213B215E9}">
                  <a14:cameraTool cellRange="data!$I$11:$J$15" spid="_x0000_s2051"/>
                </a:ext>
              </a:extLst>
            </xdr:cNvPicPr>
          </xdr:nvPicPr>
          <xdr:blipFill>
            <a:blip r:embed="rId1"/>
            <a:srcRect/>
            <a:stretch>
              <a:fillRect/>
            </a:stretch>
          </xdr:blipFill>
          <xdr:spPr>
            <a:xfrm>
              <a:off x="935990" y="3646170"/>
              <a:ext cx="1149350" cy="79057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9</xdr:col>
      <xdr:colOff>495300</xdr:colOff>
      <xdr:row>14</xdr:row>
      <xdr:rowOff>152400</xdr:rowOff>
    </xdr:from>
    <xdr:to>
      <xdr:col>18</xdr:col>
      <xdr:colOff>476250</xdr:colOff>
      <xdr:row>44</xdr:row>
      <xdr:rowOff>9525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724525" y="2419350"/>
          <a:ext cx="5467350" cy="47148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CF82"/>
  <sheetViews>
    <sheetView showGridLines="0" tabSelected="1" topLeftCell="A10" workbookViewId="0">
      <selection activeCell="P15" sqref="P15"/>
    </sheetView>
  </sheetViews>
  <sheetFormatPr defaultColWidth="9" defaultRowHeight="12.75"/>
  <cols>
    <col min="3" max="3" width="9" style="26"/>
    <col min="7" max="7" width="9.15238095238095" customWidth="1"/>
    <col min="9" max="9" width="2.38095238095238" customWidth="1"/>
    <col min="10" max="10" width="15.0761904761905" customWidth="1"/>
    <col min="23" max="26" width="2.38095238095238" customWidth="1"/>
    <col min="27" max="49" width="2.38095238095238" hidden="1" customWidth="1"/>
    <col min="50" max="50" width="2.3047619047619" hidden="1" customWidth="1"/>
    <col min="51" max="83" width="2.38095238095238" hidden="1" customWidth="1"/>
    <col min="84" max="84" width="3.38095238095238" hidden="1" customWidth="1"/>
    <col min="85" max="85" width="2.38095238095238" customWidth="1"/>
  </cols>
  <sheetData>
    <row r="2" spans="6:19">
      <c r="F2" s="27" t="s">
        <v>0</v>
      </c>
      <c r="G2" s="27"/>
      <c r="S2" s="429" t="s">
        <v>1</v>
      </c>
    </row>
    <row r="3" spans="6:19">
      <c r="F3" s="28" t="s">
        <v>2</v>
      </c>
      <c r="G3" s="29">
        <f>QUARTILE($C$11:$C$44,0)</f>
        <v>0</v>
      </c>
      <c r="J3" s="10"/>
      <c r="S3" s="429" t="s">
        <v>3</v>
      </c>
    </row>
    <row r="4" spans="6:19">
      <c r="F4" s="28" t="s">
        <v>4</v>
      </c>
      <c r="G4" s="29">
        <f>QUARTILE($C$11:$C$44,1)</f>
        <v>0.2425</v>
      </c>
      <c r="S4" s="429" t="s">
        <v>5</v>
      </c>
    </row>
    <row r="5" spans="6:19">
      <c r="F5" s="28" t="s">
        <v>6</v>
      </c>
      <c r="G5" s="29">
        <f>QUARTILE($C$11:$C$44,2)</f>
        <v>0.49</v>
      </c>
      <c r="S5" s="429" t="s">
        <v>7</v>
      </c>
    </row>
    <row r="6" spans="6:19">
      <c r="F6" s="28" t="s">
        <v>8</v>
      </c>
      <c r="G6" s="29">
        <f>QUARTILE($C$11:$C$44,3)</f>
        <v>0.9875</v>
      </c>
      <c r="S6" s="429" t="s">
        <v>9</v>
      </c>
    </row>
    <row r="7" spans="6:19">
      <c r="F7" s="28" t="s">
        <v>10</v>
      </c>
      <c r="G7" s="29">
        <f>QUARTILE($C$11:$C$44,4)</f>
        <v>31</v>
      </c>
      <c r="J7" s="43">
        <v>3</v>
      </c>
      <c r="O7" s="44" t="b">
        <v>0</v>
      </c>
      <c r="Q7" s="44" t="b">
        <v>1</v>
      </c>
      <c r="S7" s="429" t="s">
        <v>11</v>
      </c>
    </row>
    <row r="8" spans="2:28">
      <c r="B8" s="30" t="s">
        <v>12</v>
      </c>
      <c r="C8" s="31" t="s">
        <v>13</v>
      </c>
      <c r="G8" s="30" t="s">
        <v>14</v>
      </c>
      <c r="I8" s="30" t="s">
        <v>15</v>
      </c>
      <c r="L8" s="30" t="s">
        <v>16</v>
      </c>
      <c r="S8" s="51" t="s">
        <v>1</v>
      </c>
      <c r="AA8" s="52" t="s">
        <v>17</v>
      </c>
      <c r="AB8" s="52"/>
    </row>
    <row r="9" spans="27:84">
      <c r="AA9" s="53" t="str">
        <f t="shared" ref="AA9:BF9" si="0">IF(AA10=color_scheme,"↓","")</f>
        <v/>
      </c>
      <c r="AB9" s="53" t="str">
        <f t="shared" si="0"/>
        <v/>
      </c>
      <c r="AC9" s="53" t="str">
        <f t="shared" si="0"/>
        <v>↓</v>
      </c>
      <c r="AD9" s="53" t="str">
        <f t="shared" si="0"/>
        <v/>
      </c>
      <c r="AE9" s="53" t="str">
        <f t="shared" si="0"/>
        <v/>
      </c>
      <c r="AF9" s="53" t="str">
        <f t="shared" si="0"/>
        <v/>
      </c>
      <c r="AG9" s="53" t="str">
        <f t="shared" si="0"/>
        <v/>
      </c>
      <c r="AH9" s="53" t="str">
        <f t="shared" si="0"/>
        <v/>
      </c>
      <c r="AI9" s="53" t="str">
        <f t="shared" si="0"/>
        <v/>
      </c>
      <c r="AJ9" s="53" t="str">
        <f t="shared" si="0"/>
        <v/>
      </c>
      <c r="AK9" s="53" t="str">
        <f t="shared" si="0"/>
        <v/>
      </c>
      <c r="AL9" s="53" t="str">
        <f t="shared" si="0"/>
        <v/>
      </c>
      <c r="AM9" s="53" t="str">
        <f t="shared" si="0"/>
        <v/>
      </c>
      <c r="AN9" s="53" t="str">
        <f t="shared" si="0"/>
        <v/>
      </c>
      <c r="AO9" s="53" t="str">
        <f t="shared" si="0"/>
        <v/>
      </c>
      <c r="AP9" s="53" t="str">
        <f t="shared" si="0"/>
        <v/>
      </c>
      <c r="AQ9" s="53" t="str">
        <f t="shared" si="0"/>
        <v/>
      </c>
      <c r="AR9" s="53" t="str">
        <f t="shared" si="0"/>
        <v/>
      </c>
      <c r="AS9" s="53" t="str">
        <f t="shared" si="0"/>
        <v/>
      </c>
      <c r="AT9" s="53" t="str">
        <f t="shared" si="0"/>
        <v/>
      </c>
      <c r="AU9" s="53" t="str">
        <f t="shared" si="0"/>
        <v/>
      </c>
      <c r="AV9" s="53" t="str">
        <f t="shared" si="0"/>
        <v/>
      </c>
      <c r="AW9" s="53" t="str">
        <f t="shared" si="0"/>
        <v/>
      </c>
      <c r="AX9" s="53" t="str">
        <f t="shared" si="0"/>
        <v/>
      </c>
      <c r="AY9" s="53" t="str">
        <f t="shared" si="0"/>
        <v/>
      </c>
      <c r="AZ9" s="53" t="str">
        <f t="shared" si="0"/>
        <v/>
      </c>
      <c r="BA9" s="53" t="str">
        <f t="shared" si="0"/>
        <v/>
      </c>
      <c r="BB9" s="53" t="str">
        <f t="shared" si="0"/>
        <v/>
      </c>
      <c r="BC9" s="53" t="str">
        <f t="shared" si="0"/>
        <v/>
      </c>
      <c r="BD9" s="53" t="str">
        <f t="shared" si="0"/>
        <v/>
      </c>
      <c r="BE9" s="53" t="str">
        <f t="shared" si="0"/>
        <v/>
      </c>
      <c r="BF9" s="53" t="str">
        <f t="shared" si="0"/>
        <v/>
      </c>
      <c r="BG9" s="53" t="str">
        <f t="shared" ref="BG9:CF9" si="1">IF(BG10=color_scheme,"↓","")</f>
        <v/>
      </c>
      <c r="BH9" s="53" t="str">
        <f t="shared" si="1"/>
        <v/>
      </c>
      <c r="BI9" s="53" t="str">
        <f t="shared" si="1"/>
        <v/>
      </c>
      <c r="BJ9" s="53" t="str">
        <f t="shared" si="1"/>
        <v/>
      </c>
      <c r="BK9" s="53" t="str">
        <f t="shared" si="1"/>
        <v/>
      </c>
      <c r="BL9" s="53" t="str">
        <f t="shared" si="1"/>
        <v/>
      </c>
      <c r="BM9" s="53" t="str">
        <f t="shared" si="1"/>
        <v/>
      </c>
      <c r="BN9" s="53" t="str">
        <f t="shared" si="1"/>
        <v/>
      </c>
      <c r="BO9" s="53" t="str">
        <f t="shared" si="1"/>
        <v/>
      </c>
      <c r="BP9" s="53" t="str">
        <f t="shared" si="1"/>
        <v/>
      </c>
      <c r="BQ9" s="53" t="str">
        <f t="shared" si="1"/>
        <v/>
      </c>
      <c r="BR9" s="53" t="str">
        <f t="shared" si="1"/>
        <v/>
      </c>
      <c r="BS9" s="53" t="str">
        <f t="shared" si="1"/>
        <v/>
      </c>
      <c r="BT9" s="53" t="str">
        <f t="shared" si="1"/>
        <v/>
      </c>
      <c r="BU9" s="53" t="str">
        <f t="shared" si="1"/>
        <v/>
      </c>
      <c r="BV9" s="53" t="str">
        <f t="shared" si="1"/>
        <v/>
      </c>
      <c r="BW9" s="53" t="str">
        <f t="shared" si="1"/>
        <v/>
      </c>
      <c r="BX9" s="53" t="str">
        <f t="shared" si="1"/>
        <v/>
      </c>
      <c r="BY9" s="53" t="str">
        <f t="shared" si="1"/>
        <v/>
      </c>
      <c r="BZ9" s="53" t="str">
        <f t="shared" si="1"/>
        <v/>
      </c>
      <c r="CA9" s="53" t="str">
        <f t="shared" si="1"/>
        <v/>
      </c>
      <c r="CB9" s="53" t="str">
        <f t="shared" si="1"/>
        <v/>
      </c>
      <c r="CC9" s="53" t="str">
        <f t="shared" si="1"/>
        <v/>
      </c>
      <c r="CD9" s="53" t="str">
        <f t="shared" si="1"/>
        <v/>
      </c>
      <c r="CE9" s="53" t="str">
        <f t="shared" si="1"/>
        <v/>
      </c>
      <c r="CF9" s="53" t="str">
        <f t="shared" si="1"/>
        <v/>
      </c>
    </row>
    <row r="10" s="25" customFormat="1" spans="2:84">
      <c r="B10" s="13" t="s">
        <v>18</v>
      </c>
      <c r="C10" s="32" t="s">
        <v>19</v>
      </c>
      <c r="D10" s="33" t="s">
        <v>20</v>
      </c>
      <c r="E10" s="33" t="s">
        <v>21</v>
      </c>
      <c r="G10" s="34" t="s">
        <v>22</v>
      </c>
      <c r="I10" s="34" t="s">
        <v>23</v>
      </c>
      <c r="J10" s="45"/>
      <c r="AA10" s="54">
        <v>1</v>
      </c>
      <c r="AB10" s="54">
        <v>2</v>
      </c>
      <c r="AC10" s="54">
        <v>3</v>
      </c>
      <c r="AD10" s="54">
        <v>4</v>
      </c>
      <c r="AE10" s="54">
        <v>5</v>
      </c>
      <c r="AF10" s="54">
        <v>6</v>
      </c>
      <c r="AG10" s="54">
        <v>7</v>
      </c>
      <c r="AH10" s="54">
        <v>8</v>
      </c>
      <c r="AI10" s="54">
        <v>9</v>
      </c>
      <c r="AJ10" s="54">
        <v>10</v>
      </c>
      <c r="AK10" s="54">
        <v>11</v>
      </c>
      <c r="AL10" s="54">
        <v>12</v>
      </c>
      <c r="AM10" s="54">
        <v>13</v>
      </c>
      <c r="AN10" s="54">
        <v>14</v>
      </c>
      <c r="AO10" s="54">
        <v>15</v>
      </c>
      <c r="AP10" s="54">
        <v>16</v>
      </c>
      <c r="AQ10" s="54">
        <v>17</v>
      </c>
      <c r="AR10" s="54">
        <v>18</v>
      </c>
      <c r="AS10" s="54">
        <v>19</v>
      </c>
      <c r="AT10" s="54">
        <v>20</v>
      </c>
      <c r="AU10" s="54">
        <v>21</v>
      </c>
      <c r="AV10" s="54">
        <v>22</v>
      </c>
      <c r="AW10" s="54">
        <v>23</v>
      </c>
      <c r="AX10" s="54">
        <v>24</v>
      </c>
      <c r="AY10" s="54">
        <v>25</v>
      </c>
      <c r="AZ10" s="54">
        <v>26</v>
      </c>
      <c r="BA10" s="54">
        <v>27</v>
      </c>
      <c r="BB10" s="54">
        <v>28</v>
      </c>
      <c r="BC10" s="54">
        <v>29</v>
      </c>
      <c r="BD10" s="54">
        <v>30</v>
      </c>
      <c r="BE10" s="54">
        <v>31</v>
      </c>
      <c r="BF10" s="54">
        <v>32</v>
      </c>
      <c r="BG10" s="54">
        <v>33</v>
      </c>
      <c r="BH10" s="54">
        <v>34</v>
      </c>
      <c r="BI10" s="54">
        <v>35</v>
      </c>
      <c r="BJ10" s="54">
        <v>36</v>
      </c>
      <c r="BK10" s="54">
        <v>37</v>
      </c>
      <c r="BL10" s="54">
        <v>38</v>
      </c>
      <c r="BM10" s="54">
        <v>39</v>
      </c>
      <c r="BN10" s="54">
        <v>40</v>
      </c>
      <c r="BO10" s="54">
        <v>41</v>
      </c>
      <c r="BP10" s="54">
        <v>42</v>
      </c>
      <c r="BQ10" s="54">
        <v>43</v>
      </c>
      <c r="BR10" s="54">
        <v>44</v>
      </c>
      <c r="BS10" s="54">
        <v>45</v>
      </c>
      <c r="BT10" s="54">
        <v>46</v>
      </c>
      <c r="BU10" s="54">
        <v>47</v>
      </c>
      <c r="BV10" s="54">
        <v>48</v>
      </c>
      <c r="BW10" s="54">
        <v>49</v>
      </c>
      <c r="BX10" s="54">
        <v>50</v>
      </c>
      <c r="BY10" s="54">
        <v>51</v>
      </c>
      <c r="BZ10" s="54">
        <v>52</v>
      </c>
      <c r="CA10" s="54">
        <v>53</v>
      </c>
      <c r="CB10" s="54">
        <v>54</v>
      </c>
      <c r="CC10" s="54">
        <v>55</v>
      </c>
      <c r="CD10" s="54">
        <v>56</v>
      </c>
      <c r="CE10" s="54">
        <v>57</v>
      </c>
      <c r="CF10" s="54">
        <v>58</v>
      </c>
    </row>
    <row r="11" spans="1:84">
      <c r="A11">
        <v>1</v>
      </c>
      <c r="B11" t="s">
        <v>24</v>
      </c>
      <c r="C11" s="35">
        <v>31</v>
      </c>
      <c r="D11" s="36" t="str">
        <f t="shared" ref="D11:D44" si="2">VLOOKUP(C11,color_table,2,1)</f>
        <v>color5</v>
      </c>
      <c r="E11" s="36" t="str">
        <f t="shared" ref="E11:E44" si="3">IF(show_province,B11,"")&amp;IF(AND(show_province,show_numbers),CHAR(10),"")&amp;IF(show_numbers,TEXT(C11,numbers_format),"")</f>
        <v>31</v>
      </c>
      <c r="F11">
        <v>1</v>
      </c>
      <c r="G11" s="29">
        <f>QUARTILE($C$11:$C$44,0)</f>
        <v>0</v>
      </c>
      <c r="H11" s="36" t="s">
        <v>25</v>
      </c>
      <c r="I11" s="46"/>
      <c r="J11" s="8" t="str">
        <f>IF(AND(ISBLANK(G11),ISBLANK(G12)),"",CONCATENATE("[",TEXT(G11,numbers_format)," ,",IF(ISBLANK(G12),"",TEXT(G12,numbers_format)),")"))</f>
        <v>[0 ,0)</v>
      </c>
      <c r="AA11" s="55"/>
      <c r="AB11" s="55"/>
      <c r="AC11" s="56"/>
      <c r="AD11" s="57"/>
      <c r="AE11" s="58"/>
      <c r="AF11" s="59"/>
      <c r="AG11" s="57"/>
      <c r="AH11" s="88"/>
      <c r="AI11" s="59"/>
      <c r="AJ11" s="89"/>
      <c r="AK11" s="90"/>
      <c r="AL11" s="91"/>
      <c r="AM11" s="92"/>
      <c r="AN11" s="93"/>
      <c r="AO11" s="126"/>
      <c r="AP11" s="127"/>
      <c r="AQ11" s="128"/>
      <c r="AR11" s="129"/>
      <c r="AS11" s="130"/>
      <c r="AT11" s="131"/>
      <c r="AU11" s="132"/>
      <c r="AV11" s="133"/>
      <c r="AW11" s="162"/>
      <c r="AX11" s="162"/>
      <c r="AY11" s="163"/>
      <c r="AZ11" s="163"/>
      <c r="BA11" s="163"/>
      <c r="BB11" s="164"/>
      <c r="BC11" s="165"/>
      <c r="BD11" s="166"/>
      <c r="BE11" s="194"/>
      <c r="BF11" s="195"/>
      <c r="BG11" s="196"/>
      <c r="BH11" s="197"/>
      <c r="BI11" s="198"/>
      <c r="BJ11" s="199"/>
      <c r="BK11" s="200"/>
      <c r="BL11" s="201"/>
      <c r="BM11" s="249"/>
      <c r="BN11" s="250"/>
      <c r="BO11" s="251"/>
      <c r="BP11" s="252"/>
      <c r="BQ11" s="253"/>
      <c r="BR11" s="254"/>
      <c r="BS11" s="255"/>
      <c r="BT11" s="256"/>
      <c r="BU11" s="256"/>
      <c r="BV11" s="246"/>
      <c r="BW11" s="329"/>
      <c r="BX11" s="246"/>
      <c r="BY11" s="330"/>
      <c r="BZ11" s="331"/>
      <c r="CA11" s="332"/>
      <c r="CB11" s="333"/>
      <c r="CC11" s="388"/>
      <c r="CD11" s="389"/>
      <c r="CE11" s="390"/>
      <c r="CF11" s="391"/>
    </row>
    <row r="12" spans="1:84">
      <c r="A12">
        <v>2</v>
      </c>
      <c r="B12" t="s">
        <v>26</v>
      </c>
      <c r="C12" s="37">
        <v>0.48</v>
      </c>
      <c r="D12" s="36" t="str">
        <f t="shared" si="2"/>
        <v>color2</v>
      </c>
      <c r="E12" s="36" t="str">
        <f t="shared" si="3"/>
        <v>0</v>
      </c>
      <c r="F12">
        <v>2</v>
      </c>
      <c r="G12" s="29">
        <v>0.4</v>
      </c>
      <c r="H12" s="36" t="s">
        <v>27</v>
      </c>
      <c r="I12" s="47"/>
      <c r="J12" s="8" t="str">
        <f>IF(AND(ISBLANK(G12),ISBLANK(G13)),"",CONCATENATE("[",TEXT(G12,numbers_format)," ,",IF(ISBLANK(G13),"",TEXT(G13,numbers_format)),")"))</f>
        <v>[0 ,2)</v>
      </c>
      <c r="AA12" s="60"/>
      <c r="AB12" s="61"/>
      <c r="AC12" s="62"/>
      <c r="AD12" s="63"/>
      <c r="AE12" s="64"/>
      <c r="AF12" s="64"/>
      <c r="AG12" s="94"/>
      <c r="AH12" s="95"/>
      <c r="AI12" s="96"/>
      <c r="AJ12" s="97"/>
      <c r="AK12" s="98"/>
      <c r="AL12" s="99"/>
      <c r="AM12" s="100"/>
      <c r="AN12" s="101"/>
      <c r="AO12" s="134"/>
      <c r="AP12" s="135"/>
      <c r="AQ12" s="136"/>
      <c r="AR12" s="137"/>
      <c r="AS12" s="138"/>
      <c r="AT12" s="139"/>
      <c r="AU12" s="140"/>
      <c r="AV12" s="141"/>
      <c r="AW12" s="167"/>
      <c r="AX12" s="167"/>
      <c r="AY12" s="168"/>
      <c r="AZ12" s="168"/>
      <c r="BA12" s="168"/>
      <c r="BB12" s="169"/>
      <c r="BC12" s="94"/>
      <c r="BD12" s="170"/>
      <c r="BE12" s="202"/>
      <c r="BF12" s="203"/>
      <c r="BG12" s="204"/>
      <c r="BH12" s="205"/>
      <c r="BI12" s="206"/>
      <c r="BJ12" s="207"/>
      <c r="BK12" s="208"/>
      <c r="BL12" s="209"/>
      <c r="BM12" s="257"/>
      <c r="BN12" s="258"/>
      <c r="BO12" s="259"/>
      <c r="BP12" s="260"/>
      <c r="BQ12" s="261"/>
      <c r="BR12" s="262"/>
      <c r="BS12" s="263"/>
      <c r="BT12" s="264"/>
      <c r="BU12" s="264"/>
      <c r="BV12" s="243"/>
      <c r="BW12" s="334"/>
      <c r="BX12" s="243"/>
      <c r="BY12" s="335"/>
      <c r="BZ12" s="336"/>
      <c r="CA12" s="337"/>
      <c r="CB12" s="338"/>
      <c r="CC12" s="392"/>
      <c r="CD12" s="393"/>
      <c r="CE12" s="394"/>
      <c r="CF12" s="395"/>
    </row>
    <row r="13" spans="1:84">
      <c r="A13">
        <v>3</v>
      </c>
      <c r="B13" t="s">
        <v>28</v>
      </c>
      <c r="C13" s="37">
        <v>0.5</v>
      </c>
      <c r="D13" s="36" t="str">
        <f t="shared" si="2"/>
        <v>color2</v>
      </c>
      <c r="E13" s="36" t="str">
        <f t="shared" si="3"/>
        <v>1</v>
      </c>
      <c r="F13">
        <v>3</v>
      </c>
      <c r="G13" s="29">
        <v>2</v>
      </c>
      <c r="H13" s="36" t="s">
        <v>29</v>
      </c>
      <c r="I13" s="48"/>
      <c r="J13" s="8" t="str">
        <f>IF(AND(ISBLANK(G13),ISBLANK(G14)),"",CONCATENATE("[",TEXT(G13,numbers_format)," ,",IF(ISBLANK(G14),"",TEXT(G14,numbers_format)),")"))</f>
        <v>[2 ,8)</v>
      </c>
      <c r="AA13" s="65"/>
      <c r="AB13" s="66"/>
      <c r="AC13" s="67"/>
      <c r="AD13" s="68"/>
      <c r="AE13" s="69"/>
      <c r="AF13" s="70"/>
      <c r="AG13" s="102"/>
      <c r="AH13" s="103"/>
      <c r="AI13" s="104"/>
      <c r="AJ13" s="105"/>
      <c r="AK13" s="106"/>
      <c r="AL13" s="107"/>
      <c r="AM13" s="108"/>
      <c r="AN13" s="109"/>
      <c r="AO13" s="142"/>
      <c r="AP13" s="106"/>
      <c r="AQ13" s="143"/>
      <c r="AR13" s="144"/>
      <c r="AS13" s="129"/>
      <c r="AT13" s="145"/>
      <c r="AU13" s="129"/>
      <c r="AV13" s="129"/>
      <c r="AW13" s="129"/>
      <c r="AX13" s="171"/>
      <c r="AY13" s="172"/>
      <c r="AZ13" s="172"/>
      <c r="BA13" s="172"/>
      <c r="BB13" s="173"/>
      <c r="BC13" s="174"/>
      <c r="BD13" s="175"/>
      <c r="BE13" s="210"/>
      <c r="BF13" s="211"/>
      <c r="BG13" s="212"/>
      <c r="BH13" s="213"/>
      <c r="BI13" s="214"/>
      <c r="BJ13" s="215"/>
      <c r="BK13" s="216"/>
      <c r="BL13" s="217"/>
      <c r="BM13" s="265"/>
      <c r="BN13" s="266"/>
      <c r="BO13" s="267"/>
      <c r="BP13" s="268"/>
      <c r="BQ13" s="269"/>
      <c r="BR13" s="270"/>
      <c r="BS13" s="271"/>
      <c r="BT13" s="272"/>
      <c r="BU13" s="272"/>
      <c r="BV13" s="240"/>
      <c r="BW13" s="240"/>
      <c r="BX13" s="240"/>
      <c r="BY13" s="339"/>
      <c r="BZ13" s="340"/>
      <c r="CA13" s="341"/>
      <c r="CB13" s="342"/>
      <c r="CC13" s="396"/>
      <c r="CD13" s="397"/>
      <c r="CE13" s="398"/>
      <c r="CF13" s="399"/>
    </row>
    <row r="14" spans="1:84">
      <c r="A14">
        <v>4</v>
      </c>
      <c r="B14" t="s">
        <v>30</v>
      </c>
      <c r="C14" s="37">
        <v>0.47</v>
      </c>
      <c r="D14" s="36" t="str">
        <f t="shared" si="2"/>
        <v>color2</v>
      </c>
      <c r="E14" s="36" t="str">
        <f t="shared" si="3"/>
        <v>0</v>
      </c>
      <c r="F14">
        <v>4</v>
      </c>
      <c r="G14" s="29">
        <v>8</v>
      </c>
      <c r="H14" s="36" t="s">
        <v>31</v>
      </c>
      <c r="I14" s="49"/>
      <c r="J14" s="8" t="str">
        <f>IF(AND(ISBLANK(G14),ISBLANK(G15)),"",CONCATENATE("[",TEXT(G14,numbers_format)," ,",IF(ISBLANK(G15),"",TEXT(G15,numbers_format)),")"))</f>
        <v>[8 ,20)</v>
      </c>
      <c r="AA14" s="71"/>
      <c r="AB14" s="72"/>
      <c r="AC14" s="73"/>
      <c r="AD14" s="74"/>
      <c r="AE14" s="75"/>
      <c r="AF14" s="76"/>
      <c r="AG14" s="110"/>
      <c r="AH14" s="111"/>
      <c r="AI14" s="112"/>
      <c r="AJ14" s="113"/>
      <c r="AK14" s="114"/>
      <c r="AL14" s="115"/>
      <c r="AM14" s="116"/>
      <c r="AN14" s="117"/>
      <c r="AO14" s="71"/>
      <c r="AP14" s="146"/>
      <c r="AQ14" s="147"/>
      <c r="AR14" s="148"/>
      <c r="AS14" s="149"/>
      <c r="AT14" s="150"/>
      <c r="AU14" s="151"/>
      <c r="AV14" s="152"/>
      <c r="AW14" s="176"/>
      <c r="AX14" s="177"/>
      <c r="AY14" s="178"/>
      <c r="AZ14" s="179"/>
      <c r="BA14" s="180"/>
      <c r="BB14" s="181"/>
      <c r="BC14" s="182"/>
      <c r="BD14" s="183"/>
      <c r="BE14" s="218"/>
      <c r="BF14" s="219"/>
      <c r="BG14" s="220"/>
      <c r="BH14" s="221"/>
      <c r="BI14" s="222"/>
      <c r="BJ14" s="223"/>
      <c r="BK14" s="224"/>
      <c r="BL14" s="225"/>
      <c r="BM14" s="273"/>
      <c r="BN14" s="274"/>
      <c r="BO14" s="275"/>
      <c r="BP14" s="276"/>
      <c r="BQ14" s="277"/>
      <c r="BR14" s="278"/>
      <c r="BS14" s="279"/>
      <c r="BT14" s="280"/>
      <c r="BU14" s="280"/>
      <c r="BV14" s="237"/>
      <c r="BW14" s="237"/>
      <c r="BX14" s="237"/>
      <c r="BY14" s="343"/>
      <c r="BZ14" s="344"/>
      <c r="CA14" s="345"/>
      <c r="CB14" s="346"/>
      <c r="CC14" s="400"/>
      <c r="CD14" s="401"/>
      <c r="CE14" s="402"/>
      <c r="CF14" s="403"/>
    </row>
    <row r="15" spans="1:84">
      <c r="A15">
        <v>5</v>
      </c>
      <c r="B15" t="s">
        <v>32</v>
      </c>
      <c r="C15" s="37">
        <v>0.11</v>
      </c>
      <c r="D15" s="36" t="str">
        <f t="shared" si="2"/>
        <v>color1</v>
      </c>
      <c r="E15" s="36" t="str">
        <f t="shared" si="3"/>
        <v>0</v>
      </c>
      <c r="F15">
        <v>5</v>
      </c>
      <c r="G15" s="29">
        <v>20</v>
      </c>
      <c r="H15" s="36" t="s">
        <v>33</v>
      </c>
      <c r="I15" s="50"/>
      <c r="J15" s="8" t="str">
        <f>IF(AND(ISBLANK(G15),ISBLANK(G16)),"",CONCATENATE("[",TEXT(G15,numbers_format)," , ",IF(ISBLANK(G16),"",TEXT(G16,numbers_format))))</f>
        <v>[20 , </v>
      </c>
      <c r="AA15" s="77"/>
      <c r="AB15" s="78"/>
      <c r="AC15" s="79"/>
      <c r="AD15" s="80"/>
      <c r="AE15" s="81"/>
      <c r="AF15" s="82"/>
      <c r="AG15" s="118"/>
      <c r="AH15" s="119"/>
      <c r="AI15" s="120"/>
      <c r="AJ15" s="121"/>
      <c r="AK15" s="122"/>
      <c r="AL15" s="123"/>
      <c r="AM15" s="124"/>
      <c r="AN15" s="125"/>
      <c r="AO15" s="80"/>
      <c r="AP15" s="153"/>
      <c r="AQ15" s="154"/>
      <c r="AR15" s="155"/>
      <c r="AS15" s="156"/>
      <c r="AT15" s="157"/>
      <c r="AU15" s="158"/>
      <c r="AV15" s="159"/>
      <c r="AW15" s="184"/>
      <c r="AX15" s="185"/>
      <c r="AY15" s="186"/>
      <c r="AZ15" s="187"/>
      <c r="BA15" s="188"/>
      <c r="BB15" s="189"/>
      <c r="BC15" s="190"/>
      <c r="BD15" s="191"/>
      <c r="BE15" s="226"/>
      <c r="BF15" s="227"/>
      <c r="BG15" s="228"/>
      <c r="BH15" s="229"/>
      <c r="BI15" s="230"/>
      <c r="BJ15" s="231"/>
      <c r="BK15" s="232"/>
      <c r="BL15" s="233"/>
      <c r="BM15" s="281"/>
      <c r="BN15" s="282"/>
      <c r="BO15" s="283"/>
      <c r="BP15" s="284"/>
      <c r="BQ15" s="285"/>
      <c r="BR15" s="286"/>
      <c r="BS15" s="287"/>
      <c r="BT15" s="288"/>
      <c r="BU15" s="288"/>
      <c r="BV15" s="347"/>
      <c r="BW15" s="234"/>
      <c r="BX15" s="234"/>
      <c r="BY15" s="348"/>
      <c r="BZ15" s="349"/>
      <c r="CA15" s="350"/>
      <c r="CB15" s="351"/>
      <c r="CC15" s="404"/>
      <c r="CD15" s="405"/>
      <c r="CE15" s="406"/>
      <c r="CF15" s="407"/>
    </row>
    <row r="16" spans="1:84">
      <c r="A16">
        <v>6</v>
      </c>
      <c r="B16" t="s">
        <v>34</v>
      </c>
      <c r="C16" s="37">
        <v>0.42</v>
      </c>
      <c r="D16" s="36" t="str">
        <f t="shared" si="2"/>
        <v>color2</v>
      </c>
      <c r="E16" s="36" t="str">
        <f t="shared" si="3"/>
        <v>0</v>
      </c>
      <c r="F16" s="38"/>
      <c r="G16" s="39"/>
      <c r="H16" s="40"/>
      <c r="I16" s="7"/>
      <c r="J16" s="9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234"/>
      <c r="BK16" s="235"/>
      <c r="BL16" s="236"/>
      <c r="BM16" s="289"/>
      <c r="BN16" s="290"/>
      <c r="BO16" s="291"/>
      <c r="BP16" s="292"/>
      <c r="BQ16" s="293"/>
      <c r="BR16" s="294"/>
      <c r="BS16" s="295"/>
      <c r="BT16" s="296"/>
      <c r="BU16" s="352"/>
      <c r="BV16" s="353"/>
      <c r="BW16" s="354"/>
      <c r="BX16" s="231"/>
      <c r="BY16" s="355"/>
      <c r="BZ16" s="356"/>
      <c r="CA16" s="357"/>
      <c r="CB16" s="358"/>
      <c r="CC16" s="408"/>
      <c r="CD16" s="409"/>
      <c r="CE16" s="410"/>
      <c r="CF16" s="411"/>
    </row>
    <row r="17" spans="1:84">
      <c r="A17">
        <v>7</v>
      </c>
      <c r="B17" t="s">
        <v>35</v>
      </c>
      <c r="C17" s="37">
        <v>0.95</v>
      </c>
      <c r="D17" s="36" t="str">
        <f t="shared" si="2"/>
        <v>color2</v>
      </c>
      <c r="E17" s="36" t="str">
        <f t="shared" si="3"/>
        <v>1</v>
      </c>
      <c r="F17" s="38"/>
      <c r="G17" s="39"/>
      <c r="H17" s="40"/>
      <c r="I17" s="7"/>
      <c r="J17" s="9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237"/>
      <c r="BK17" s="238"/>
      <c r="BL17" s="239"/>
      <c r="BM17" s="297"/>
      <c r="BN17" s="298"/>
      <c r="BO17" s="299"/>
      <c r="BP17" s="300"/>
      <c r="BQ17" s="301"/>
      <c r="BR17" s="302"/>
      <c r="BS17" s="303"/>
      <c r="BT17" s="304"/>
      <c r="BU17" s="359"/>
      <c r="BV17" s="360"/>
      <c r="BW17" s="361"/>
      <c r="BX17" s="223"/>
      <c r="BY17" s="362"/>
      <c r="BZ17" s="363"/>
      <c r="CA17" s="364"/>
      <c r="CB17" s="365"/>
      <c r="CC17" s="412"/>
      <c r="CD17" s="413"/>
      <c r="CE17" s="414"/>
      <c r="CF17" s="415"/>
    </row>
    <row r="18" spans="1:84">
      <c r="A18">
        <v>8</v>
      </c>
      <c r="B18" t="s">
        <v>36</v>
      </c>
      <c r="C18" s="37">
        <v>0.25</v>
      </c>
      <c r="D18" s="36" t="str">
        <f t="shared" si="2"/>
        <v>color1</v>
      </c>
      <c r="E18" s="36" t="str">
        <f t="shared" si="3"/>
        <v>0</v>
      </c>
      <c r="F18" s="38"/>
      <c r="G18" s="39"/>
      <c r="H18" s="40"/>
      <c r="I18" s="7"/>
      <c r="J18" s="9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240"/>
      <c r="BK18" s="241"/>
      <c r="BL18" s="242"/>
      <c r="BM18" s="305"/>
      <c r="BN18" s="306"/>
      <c r="BO18" s="307"/>
      <c r="BP18" s="308"/>
      <c r="BQ18" s="309"/>
      <c r="BR18" s="310"/>
      <c r="BS18" s="311"/>
      <c r="BT18" s="312"/>
      <c r="BU18" s="366"/>
      <c r="BV18" s="367"/>
      <c r="BW18" s="368"/>
      <c r="BX18" s="215"/>
      <c r="BY18" s="369"/>
      <c r="BZ18" s="370"/>
      <c r="CA18" s="371"/>
      <c r="CB18" s="372"/>
      <c r="CC18" s="416"/>
      <c r="CD18" s="417"/>
      <c r="CE18" s="418"/>
      <c r="CF18" s="419"/>
    </row>
    <row r="19" spans="1:84">
      <c r="A19">
        <v>9</v>
      </c>
      <c r="B19" t="s">
        <v>37</v>
      </c>
      <c r="C19" s="37">
        <v>16</v>
      </c>
      <c r="D19" s="36" t="str">
        <f t="shared" si="2"/>
        <v>color4</v>
      </c>
      <c r="E19" s="36" t="str">
        <f t="shared" si="3"/>
        <v>16</v>
      </c>
      <c r="F19" s="38"/>
      <c r="G19" s="39"/>
      <c r="H19" s="40"/>
      <c r="I19" s="7"/>
      <c r="J19" s="9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243"/>
      <c r="BK19" s="244"/>
      <c r="BL19" s="245"/>
      <c r="BM19" s="313"/>
      <c r="BN19" s="314"/>
      <c r="BO19" s="315"/>
      <c r="BP19" s="316"/>
      <c r="BQ19" s="317"/>
      <c r="BR19" s="318"/>
      <c r="BS19" s="319"/>
      <c r="BT19" s="320"/>
      <c r="BU19" s="373"/>
      <c r="BV19" s="374"/>
      <c r="BW19" s="375"/>
      <c r="BX19" s="207"/>
      <c r="BY19" s="376"/>
      <c r="BZ19" s="377"/>
      <c r="CA19" s="378"/>
      <c r="CB19" s="379"/>
      <c r="CC19" s="420"/>
      <c r="CD19" s="421"/>
      <c r="CE19" s="422"/>
      <c r="CF19" s="423"/>
    </row>
    <row r="20" spans="1:84">
      <c r="A20">
        <v>10</v>
      </c>
      <c r="B20" t="s">
        <v>38</v>
      </c>
      <c r="C20" s="37">
        <v>4</v>
      </c>
      <c r="D20" s="36" t="str">
        <f t="shared" si="2"/>
        <v>color3</v>
      </c>
      <c r="E20" s="36" t="str">
        <f t="shared" si="3"/>
        <v>4</v>
      </c>
      <c r="F20" s="38"/>
      <c r="G20" s="39"/>
      <c r="H20" s="40"/>
      <c r="I20" s="7"/>
      <c r="J20" s="9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246"/>
      <c r="BK20" s="247"/>
      <c r="BL20" s="248"/>
      <c r="BM20" s="321"/>
      <c r="BN20" s="322"/>
      <c r="BO20" s="323"/>
      <c r="BP20" s="324"/>
      <c r="BQ20" s="325"/>
      <c r="BR20" s="326"/>
      <c r="BS20" s="327"/>
      <c r="BT20" s="328"/>
      <c r="BU20" s="380"/>
      <c r="BV20" s="381"/>
      <c r="BW20" s="382"/>
      <c r="BX20" s="383"/>
      <c r="BY20" s="384"/>
      <c r="BZ20" s="385"/>
      <c r="CA20" s="386"/>
      <c r="CB20" s="387"/>
      <c r="CC20" s="424"/>
      <c r="CD20" s="425"/>
      <c r="CE20" s="426"/>
      <c r="CF20" s="427"/>
    </row>
    <row r="21" spans="1:5">
      <c r="A21">
        <v>11</v>
      </c>
      <c r="B21" t="s">
        <v>39</v>
      </c>
      <c r="C21" s="37">
        <v>8</v>
      </c>
      <c r="D21" s="36" t="str">
        <f t="shared" si="2"/>
        <v>color4</v>
      </c>
      <c r="E21" s="36" t="str">
        <f t="shared" si="3"/>
        <v>8</v>
      </c>
    </row>
    <row r="22" spans="1:82">
      <c r="A22">
        <v>12</v>
      </c>
      <c r="B22" t="s">
        <v>40</v>
      </c>
      <c r="C22" s="37">
        <v>0.7</v>
      </c>
      <c r="D22" s="36" t="str">
        <f t="shared" si="2"/>
        <v>color2</v>
      </c>
      <c r="E22" s="36" t="str">
        <f t="shared" si="3"/>
        <v>1</v>
      </c>
      <c r="G22" s="41" t="str">
        <f>IF(AND(COUNTA(G11:G20)&lt;=5,J7&gt;35),"请注意，配色方案应与分档设置相匹配，如5档对应5个颜色。","")</f>
        <v/>
      </c>
      <c r="AA22" s="84" t="s">
        <v>41</v>
      </c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160" t="s">
        <v>42</v>
      </c>
      <c r="AT22" s="161"/>
      <c r="AU22" s="161"/>
      <c r="AV22" s="161"/>
      <c r="AW22" s="161"/>
      <c r="AX22" s="161"/>
      <c r="AY22" s="161"/>
      <c r="AZ22" s="161"/>
      <c r="BA22" s="161"/>
      <c r="BB22" s="192" t="s">
        <v>43</v>
      </c>
      <c r="BC22" s="193"/>
      <c r="BD22" s="193"/>
      <c r="BE22" s="193"/>
      <c r="BF22" s="193"/>
      <c r="BG22" s="193"/>
      <c r="BH22" s="193"/>
      <c r="BI22" s="193"/>
      <c r="BJ22" s="85" t="s">
        <v>44</v>
      </c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161" t="s">
        <v>45</v>
      </c>
      <c r="BZ22" s="161"/>
      <c r="CA22" s="161"/>
      <c r="CB22" s="161"/>
      <c r="CC22" s="161"/>
      <c r="CD22" s="161"/>
    </row>
    <row r="23" spans="1:7">
      <c r="A23">
        <v>13</v>
      </c>
      <c r="B23" t="s">
        <v>46</v>
      </c>
      <c r="C23" s="37">
        <v>2</v>
      </c>
      <c r="D23" s="36" t="str">
        <f t="shared" si="2"/>
        <v>color3</v>
      </c>
      <c r="E23" s="36" t="str">
        <f t="shared" si="3"/>
        <v>2</v>
      </c>
      <c r="G23" s="41" t="str">
        <f>IF(AND(COUNTA(G11:G20)&gt;5,J7&lt;=35),"请注意，配色方案应与分档设置相匹配，如5档对应5个颜色。","")</f>
        <v/>
      </c>
    </row>
    <row r="24" spans="1:5">
      <c r="A24">
        <v>14</v>
      </c>
      <c r="B24" t="s">
        <v>47</v>
      </c>
      <c r="C24" s="37">
        <v>0.75</v>
      </c>
      <c r="D24" s="36" t="str">
        <f t="shared" si="2"/>
        <v>color2</v>
      </c>
      <c r="E24" s="36" t="str">
        <f t="shared" si="3"/>
        <v>1</v>
      </c>
    </row>
    <row r="25" spans="1:84">
      <c r="A25">
        <v>15</v>
      </c>
      <c r="B25" t="s">
        <v>48</v>
      </c>
      <c r="C25" s="37">
        <v>1</v>
      </c>
      <c r="D25" s="36" t="str">
        <f t="shared" si="2"/>
        <v>color2</v>
      </c>
      <c r="E25" s="36" t="str">
        <f t="shared" si="3"/>
        <v>1</v>
      </c>
      <c r="CF25" s="428">
        <v>1</v>
      </c>
    </row>
    <row r="26" spans="1:84">
      <c r="A26">
        <v>16</v>
      </c>
      <c r="B26" t="s">
        <v>49</v>
      </c>
      <c r="C26" s="37">
        <v>0.58</v>
      </c>
      <c r="D26" s="36" t="str">
        <f t="shared" si="2"/>
        <v>color2</v>
      </c>
      <c r="E26" s="36" t="str">
        <f t="shared" si="3"/>
        <v>1</v>
      </c>
      <c r="CF26" s="428">
        <v>2</v>
      </c>
    </row>
    <row r="27" spans="1:84">
      <c r="A27">
        <v>17</v>
      </c>
      <c r="B27" t="s">
        <v>50</v>
      </c>
      <c r="C27" s="37">
        <v>2</v>
      </c>
      <c r="D27" s="36" t="str">
        <f t="shared" si="2"/>
        <v>color3</v>
      </c>
      <c r="E27" s="36" t="str">
        <f t="shared" si="3"/>
        <v>2</v>
      </c>
      <c r="CF27" s="428">
        <v>3</v>
      </c>
    </row>
    <row r="28" spans="1:84">
      <c r="A28">
        <v>18</v>
      </c>
      <c r="B28" t="s">
        <v>51</v>
      </c>
      <c r="C28" s="37">
        <v>0.59</v>
      </c>
      <c r="D28" s="36" t="str">
        <f t="shared" si="2"/>
        <v>color2</v>
      </c>
      <c r="E28" s="36" t="str">
        <f t="shared" si="3"/>
        <v>1</v>
      </c>
      <c r="CF28" s="428">
        <v>4</v>
      </c>
    </row>
    <row r="29" spans="1:84">
      <c r="A29">
        <v>19</v>
      </c>
      <c r="B29" t="s">
        <v>52</v>
      </c>
      <c r="C29" s="37">
        <v>20</v>
      </c>
      <c r="D29" s="36" t="str">
        <f t="shared" si="2"/>
        <v>color5</v>
      </c>
      <c r="E29" s="36" t="str">
        <f t="shared" si="3"/>
        <v>20</v>
      </c>
      <c r="CF29" s="428">
        <v>5</v>
      </c>
    </row>
    <row r="30" spans="1:84">
      <c r="A30">
        <v>20</v>
      </c>
      <c r="B30" t="s">
        <v>53</v>
      </c>
      <c r="C30" s="37">
        <v>0.11</v>
      </c>
      <c r="D30" s="36" t="str">
        <f t="shared" si="2"/>
        <v>color1</v>
      </c>
      <c r="E30" s="36" t="str">
        <f t="shared" si="3"/>
        <v>0</v>
      </c>
      <c r="CF30" s="428">
        <v>6</v>
      </c>
    </row>
    <row r="31" spans="1:84">
      <c r="A31">
        <v>21</v>
      </c>
      <c r="B31" t="s">
        <v>54</v>
      </c>
      <c r="C31" s="37">
        <v>0.4</v>
      </c>
      <c r="D31" s="36" t="str">
        <f t="shared" si="2"/>
        <v>color2</v>
      </c>
      <c r="E31" s="36" t="str">
        <f t="shared" si="3"/>
        <v>0</v>
      </c>
      <c r="CF31" s="428">
        <v>7</v>
      </c>
    </row>
    <row r="32" spans="1:84">
      <c r="A32">
        <v>22</v>
      </c>
      <c r="B32" t="s">
        <v>55</v>
      </c>
      <c r="C32" s="37">
        <v>0.37</v>
      </c>
      <c r="D32" s="36" t="str">
        <f t="shared" si="2"/>
        <v>color1</v>
      </c>
      <c r="E32" s="36" t="str">
        <f t="shared" si="3"/>
        <v>0</v>
      </c>
      <c r="CF32" s="428">
        <v>8</v>
      </c>
    </row>
    <row r="33" spans="1:84">
      <c r="A33">
        <v>23</v>
      </c>
      <c r="B33" t="s">
        <v>56</v>
      </c>
      <c r="C33" s="37">
        <v>5</v>
      </c>
      <c r="D33" s="36" t="str">
        <f t="shared" si="2"/>
        <v>color3</v>
      </c>
      <c r="E33" s="36" t="str">
        <f t="shared" si="3"/>
        <v>5</v>
      </c>
      <c r="CF33" s="428">
        <v>9</v>
      </c>
    </row>
    <row r="34" spans="1:84">
      <c r="A34">
        <v>24</v>
      </c>
      <c r="B34" t="s">
        <v>57</v>
      </c>
      <c r="C34" s="37">
        <v>0.21</v>
      </c>
      <c r="D34" s="36" t="str">
        <f t="shared" si="2"/>
        <v>color1</v>
      </c>
      <c r="E34" s="36" t="str">
        <f t="shared" si="3"/>
        <v>0</v>
      </c>
      <c r="AA34" s="86"/>
      <c r="CF34" s="428">
        <v>10</v>
      </c>
    </row>
    <row r="35" spans="1:84">
      <c r="A35">
        <v>25</v>
      </c>
      <c r="B35" t="s">
        <v>58</v>
      </c>
      <c r="C35" s="37">
        <v>0.29</v>
      </c>
      <c r="D35" s="36" t="str">
        <f t="shared" si="2"/>
        <v>color1</v>
      </c>
      <c r="E35" s="36" t="str">
        <f t="shared" si="3"/>
        <v>0</v>
      </c>
      <c r="CF35" s="428">
        <v>11</v>
      </c>
    </row>
    <row r="36" spans="1:84">
      <c r="A36">
        <v>26</v>
      </c>
      <c r="B36" t="s">
        <v>59</v>
      </c>
      <c r="C36" s="37">
        <v>0.2</v>
      </c>
      <c r="D36" s="36" t="str">
        <f t="shared" si="2"/>
        <v>color1</v>
      </c>
      <c r="E36" s="36" t="str">
        <f t="shared" si="3"/>
        <v>0</v>
      </c>
      <c r="CF36" s="428">
        <v>12</v>
      </c>
    </row>
    <row r="37" spans="1:84">
      <c r="A37">
        <v>27</v>
      </c>
      <c r="B37" t="s">
        <v>60</v>
      </c>
      <c r="C37" s="37">
        <v>0.85</v>
      </c>
      <c r="D37" s="36" t="str">
        <f t="shared" si="2"/>
        <v>color2</v>
      </c>
      <c r="E37" s="36" t="str">
        <f t="shared" si="3"/>
        <v>1</v>
      </c>
      <c r="CF37" s="428">
        <v>13</v>
      </c>
    </row>
    <row r="38" spans="1:84">
      <c r="A38">
        <v>28</v>
      </c>
      <c r="B38" t="s">
        <v>61</v>
      </c>
      <c r="C38" s="37">
        <v>0.12</v>
      </c>
      <c r="D38" s="36" t="str">
        <f t="shared" si="2"/>
        <v>color1</v>
      </c>
      <c r="E38" s="36" t="str">
        <f t="shared" si="3"/>
        <v>0</v>
      </c>
      <c r="CF38" s="428">
        <v>14</v>
      </c>
    </row>
    <row r="39" spans="1:84">
      <c r="A39">
        <v>29</v>
      </c>
      <c r="B39" t="s">
        <v>62</v>
      </c>
      <c r="C39" s="37">
        <v>0.72</v>
      </c>
      <c r="D39" s="36" t="str">
        <f t="shared" si="2"/>
        <v>color2</v>
      </c>
      <c r="E39" s="36" t="str">
        <f t="shared" si="3"/>
        <v>1</v>
      </c>
      <c r="AA39" s="87"/>
      <c r="CF39" s="428">
        <v>15</v>
      </c>
    </row>
    <row r="40" spans="1:84">
      <c r="A40">
        <v>30</v>
      </c>
      <c r="B40" t="s">
        <v>63</v>
      </c>
      <c r="C40" s="37">
        <v>0.03</v>
      </c>
      <c r="D40" s="36" t="str">
        <f t="shared" si="2"/>
        <v>color1</v>
      </c>
      <c r="E40" s="36" t="str">
        <f t="shared" si="3"/>
        <v>0</v>
      </c>
      <c r="CF40" s="428">
        <v>16</v>
      </c>
    </row>
    <row r="41" spans="1:84">
      <c r="A41">
        <v>31</v>
      </c>
      <c r="B41" t="s">
        <v>64</v>
      </c>
      <c r="C41" s="37">
        <v>0.24</v>
      </c>
      <c r="D41" s="36" t="str">
        <f t="shared" si="2"/>
        <v>color1</v>
      </c>
      <c r="E41" s="36" t="str">
        <f t="shared" si="3"/>
        <v>0</v>
      </c>
      <c r="CF41" s="428">
        <v>17</v>
      </c>
    </row>
    <row r="42" spans="1:84">
      <c r="A42">
        <v>32</v>
      </c>
      <c r="B42" t="s">
        <v>65</v>
      </c>
      <c r="C42" s="37">
        <v>0.32</v>
      </c>
      <c r="D42" s="36" t="str">
        <f t="shared" si="2"/>
        <v>color1</v>
      </c>
      <c r="E42" s="36" t="str">
        <f t="shared" si="3"/>
        <v>0</v>
      </c>
      <c r="CF42" s="428">
        <v>18</v>
      </c>
    </row>
    <row r="43" spans="1:84">
      <c r="A43">
        <v>33</v>
      </c>
      <c r="B43" t="s">
        <v>66</v>
      </c>
      <c r="C43" s="37">
        <v>0</v>
      </c>
      <c r="D43" s="36" t="str">
        <f t="shared" si="2"/>
        <v>color1</v>
      </c>
      <c r="E43" s="36" t="str">
        <f t="shared" si="3"/>
        <v>0</v>
      </c>
      <c r="CF43" s="428">
        <v>19</v>
      </c>
    </row>
    <row r="44" spans="1:84">
      <c r="A44">
        <v>34</v>
      </c>
      <c r="B44" t="s">
        <v>67</v>
      </c>
      <c r="C44" s="42">
        <v>0</v>
      </c>
      <c r="D44" s="36" t="str">
        <f t="shared" si="2"/>
        <v>color1</v>
      </c>
      <c r="E44" s="36" t="str">
        <f t="shared" si="3"/>
        <v>0</v>
      </c>
      <c r="CF44" s="428">
        <v>20</v>
      </c>
    </row>
    <row r="45" spans="84:84">
      <c r="CF45" s="428">
        <v>21</v>
      </c>
    </row>
    <row r="46" spans="84:84">
      <c r="CF46" s="428">
        <v>22</v>
      </c>
    </row>
    <row r="47" spans="84:84">
      <c r="CF47" s="428">
        <v>23</v>
      </c>
    </row>
    <row r="48" spans="84:84">
      <c r="CF48" s="428">
        <v>24</v>
      </c>
    </row>
    <row r="49" spans="84:84">
      <c r="CF49" s="428">
        <v>25</v>
      </c>
    </row>
    <row r="50" spans="84:84">
      <c r="CF50" s="428">
        <v>26</v>
      </c>
    </row>
    <row r="51" spans="84:84">
      <c r="CF51" s="428">
        <v>27</v>
      </c>
    </row>
    <row r="52" spans="84:84">
      <c r="CF52" s="428">
        <v>28</v>
      </c>
    </row>
    <row r="53" spans="84:84">
      <c r="CF53" s="428">
        <v>29</v>
      </c>
    </row>
    <row r="54" spans="84:84">
      <c r="CF54" s="428">
        <v>30</v>
      </c>
    </row>
    <row r="55" spans="84:84">
      <c r="CF55" s="428">
        <v>31</v>
      </c>
    </row>
    <row r="56" spans="84:84">
      <c r="CF56" s="428">
        <v>32</v>
      </c>
    </row>
    <row r="57" spans="84:84">
      <c r="CF57" s="428">
        <v>33</v>
      </c>
    </row>
    <row r="58" spans="84:84">
      <c r="CF58" s="428">
        <v>34</v>
      </c>
    </row>
    <row r="59" spans="84:84">
      <c r="CF59" s="428">
        <v>35</v>
      </c>
    </row>
    <row r="60" spans="84:84">
      <c r="CF60" s="428">
        <v>36</v>
      </c>
    </row>
    <row r="61" spans="84:84">
      <c r="CF61" s="428">
        <v>37</v>
      </c>
    </row>
    <row r="62" spans="84:84">
      <c r="CF62" s="428">
        <v>38</v>
      </c>
    </row>
    <row r="63" spans="84:84">
      <c r="CF63" s="428">
        <v>39</v>
      </c>
    </row>
    <row r="64" spans="84:84">
      <c r="CF64" s="428">
        <v>40</v>
      </c>
    </row>
    <row r="65" spans="84:84">
      <c r="CF65" s="428">
        <v>41</v>
      </c>
    </row>
    <row r="66" spans="84:84">
      <c r="CF66" s="428">
        <v>42</v>
      </c>
    </row>
    <row r="67" spans="84:84">
      <c r="CF67" s="428">
        <v>43</v>
      </c>
    </row>
    <row r="68" spans="84:84">
      <c r="CF68" s="428">
        <v>44</v>
      </c>
    </row>
    <row r="69" spans="84:84">
      <c r="CF69" s="428">
        <v>45</v>
      </c>
    </row>
    <row r="70" spans="84:84">
      <c r="CF70" s="428">
        <v>46</v>
      </c>
    </row>
    <row r="71" spans="84:84">
      <c r="CF71" s="428">
        <v>47</v>
      </c>
    </row>
    <row r="72" spans="84:84">
      <c r="CF72" s="428">
        <v>48</v>
      </c>
    </row>
    <row r="73" spans="84:84">
      <c r="CF73" s="428">
        <v>49</v>
      </c>
    </row>
    <row r="74" spans="84:84">
      <c r="CF74" s="428">
        <v>50</v>
      </c>
    </row>
    <row r="75" spans="84:84">
      <c r="CF75" s="428">
        <v>51</v>
      </c>
    </row>
    <row r="76" spans="84:84">
      <c r="CF76" s="428">
        <v>52</v>
      </c>
    </row>
    <row r="77" spans="84:84">
      <c r="CF77" s="428">
        <v>53</v>
      </c>
    </row>
    <row r="78" spans="84:84">
      <c r="CF78" s="428">
        <v>54</v>
      </c>
    </row>
    <row r="79" spans="84:84">
      <c r="CF79" s="428">
        <v>55</v>
      </c>
    </row>
    <row r="80" spans="84:84">
      <c r="CF80" s="428">
        <v>56</v>
      </c>
    </row>
    <row r="81" spans="84:84">
      <c r="CF81" s="428">
        <v>57</v>
      </c>
    </row>
    <row r="82" spans="84:84">
      <c r="CF82" s="428">
        <v>58</v>
      </c>
    </row>
  </sheetData>
  <sheetProtection formatCells="0"/>
  <mergeCells count="1">
    <mergeCell ref="F2:G2"/>
  </mergeCells>
  <dataValidations count="1">
    <dataValidation type="list" allowBlank="1" showInputMessage="1" showErrorMessage="1" sqref="S8">
      <formula1>$S$2:$S$7</formula1>
    </dataValidation>
  </dataValidations>
  <pageMargins left="0.7" right="0.7" top="0.75" bottom="0.75" header="0.3" footer="0.3"/>
  <pageSetup paperSize="9" orientation="portrait" horizontalDpi="3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Check Box 9" r:id="rId4">
              <controlPr defaultSize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Check Box 10" r:id="rId5">
              <controlPr defaultSize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Scroll Bar 16" r:id="rId6">
              <controlPr defaultSize="0">
                <anchor moveWithCells="1">
                  <from>
                    <xdr:col>8</xdr:col>
                    <xdr:colOff>48895</xdr:colOff>
                    <xdr:row>4</xdr:row>
                    <xdr:rowOff>119380</xdr:rowOff>
                  </from>
                  <to>
                    <xdr:col>9</xdr:col>
                    <xdr:colOff>892175</xdr:colOff>
                    <xdr:row>6</xdr:row>
                    <xdr:rowOff>146685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name="Drop Down 54" r:id="rId7">
              <controlPr defaultSize="0">
                <anchor moveWithCells="1">
                  <from>
                    <xdr:col>9</xdr:col>
                    <xdr:colOff>369570</xdr:colOff>
                    <xdr:row>7</xdr:row>
                    <xdr:rowOff>0</xdr:rowOff>
                  </from>
                  <to>
                    <xdr:col>9</xdr:col>
                    <xdr:colOff>887095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showGridLines="0" topLeftCell="A13" workbookViewId="0">
      <selection activeCell="L19" sqref="L19"/>
    </sheetView>
  </sheetViews>
  <sheetFormatPr defaultColWidth="9" defaultRowHeight="12.75"/>
  <sheetData/>
  <pageMargins left="0.7" right="0.7" top="0.75" bottom="0.75" header="0.3" footer="0.3"/>
  <headerFooter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35"/>
  <sheetViews>
    <sheetView zoomScale="145" zoomScaleNormal="145" topLeftCell="A7" workbookViewId="0">
      <selection activeCell="H2" sqref="H2:H35"/>
    </sheetView>
  </sheetViews>
  <sheetFormatPr defaultColWidth="9" defaultRowHeight="12.75"/>
  <cols>
    <col min="4" max="4" width="35.0761904761905" customWidth="1"/>
    <col min="8" max="8" width="9.22857142857143" style="10"/>
  </cols>
  <sheetData>
    <row r="1" ht="41.15" customHeight="1" spans="1:11">
      <c r="A1" s="11" t="s">
        <v>18</v>
      </c>
      <c r="B1" s="11" t="s">
        <v>68</v>
      </c>
      <c r="D1" s="12" t="s">
        <v>69</v>
      </c>
      <c r="F1" s="13" t="s">
        <v>18</v>
      </c>
      <c r="G1" s="13" t="s">
        <v>19</v>
      </c>
      <c r="H1" s="14" t="s">
        <v>70</v>
      </c>
      <c r="I1" s="23"/>
      <c r="J1" s="24" t="s">
        <v>71</v>
      </c>
      <c r="K1" s="16"/>
    </row>
    <row r="2" spans="1:8">
      <c r="A2" s="11" t="s">
        <v>47</v>
      </c>
      <c r="B2" s="15">
        <v>0.0075</v>
      </c>
      <c r="F2" t="s">
        <v>24</v>
      </c>
      <c r="G2">
        <f>VLOOKUP(F2,$A$1:$B$100,2,FALSE)</f>
        <v>0.31</v>
      </c>
      <c r="H2" s="16">
        <f>IF(ISNA(G2),0,G2)</f>
        <v>0.31</v>
      </c>
    </row>
    <row r="3" spans="1:8">
      <c r="A3" s="11" t="s">
        <v>60</v>
      </c>
      <c r="B3" s="15">
        <v>0.0085</v>
      </c>
      <c r="F3" t="s">
        <v>26</v>
      </c>
      <c r="G3">
        <f t="shared" ref="G3:G35" si="0">VLOOKUP(F3,$A$1:$B$100,2,FALSE)</f>
        <v>0.0048</v>
      </c>
      <c r="H3" s="16">
        <f t="shared" ref="H3:H35" si="1">IF(ISNA(G3),0,G3)</f>
        <v>0.0048</v>
      </c>
    </row>
    <row r="4" spans="1:8">
      <c r="A4" s="11" t="s">
        <v>34</v>
      </c>
      <c r="B4" s="15">
        <v>0.0042</v>
      </c>
      <c r="F4" t="s">
        <v>28</v>
      </c>
      <c r="G4">
        <f t="shared" si="0"/>
        <v>0.005</v>
      </c>
      <c r="H4" s="16">
        <f t="shared" si="1"/>
        <v>0.005</v>
      </c>
    </row>
    <row r="5" ht="16.5" spans="1:8">
      <c r="A5" s="17" t="s">
        <v>49</v>
      </c>
      <c r="B5" s="15">
        <v>0.0058</v>
      </c>
      <c r="F5" t="s">
        <v>30</v>
      </c>
      <c r="G5">
        <f t="shared" si="0"/>
        <v>0.0047</v>
      </c>
      <c r="H5" s="16">
        <f t="shared" si="1"/>
        <v>0.0047</v>
      </c>
    </row>
    <row r="6" spans="1:8">
      <c r="A6" s="11" t="s">
        <v>24</v>
      </c>
      <c r="B6" s="18">
        <v>0.31</v>
      </c>
      <c r="F6" t="s">
        <v>32</v>
      </c>
      <c r="G6">
        <f t="shared" si="0"/>
        <v>0.0011</v>
      </c>
      <c r="H6" s="16">
        <f t="shared" si="1"/>
        <v>0.0011</v>
      </c>
    </row>
    <row r="7" spans="1:8">
      <c r="A7" s="11" t="s">
        <v>30</v>
      </c>
      <c r="B7" s="15">
        <v>0.0047</v>
      </c>
      <c r="F7" t="s">
        <v>34</v>
      </c>
      <c r="G7">
        <f t="shared" si="0"/>
        <v>0.0042</v>
      </c>
      <c r="H7" s="16">
        <f t="shared" si="1"/>
        <v>0.0042</v>
      </c>
    </row>
    <row r="8" spans="1:8">
      <c r="A8" s="11" t="s">
        <v>55</v>
      </c>
      <c r="B8" s="15">
        <v>0.0037</v>
      </c>
      <c r="F8" t="s">
        <v>35</v>
      </c>
      <c r="G8">
        <f t="shared" si="0"/>
        <v>0.0095</v>
      </c>
      <c r="H8" s="16">
        <f t="shared" si="1"/>
        <v>0.0095</v>
      </c>
    </row>
    <row r="9" spans="1:8">
      <c r="A9" s="11" t="s">
        <v>35</v>
      </c>
      <c r="B9" s="15">
        <v>0.0095</v>
      </c>
      <c r="F9" t="s">
        <v>36</v>
      </c>
      <c r="G9">
        <f t="shared" si="0"/>
        <v>0.0025</v>
      </c>
      <c r="H9" s="16">
        <f t="shared" si="1"/>
        <v>0.0025</v>
      </c>
    </row>
    <row r="10" spans="1:8">
      <c r="A10" s="11" t="s">
        <v>26</v>
      </c>
      <c r="B10" s="15">
        <v>0.0048</v>
      </c>
      <c r="F10" t="s">
        <v>37</v>
      </c>
      <c r="G10">
        <f t="shared" si="0"/>
        <v>0.16</v>
      </c>
      <c r="H10" s="16">
        <f t="shared" si="1"/>
        <v>0.16</v>
      </c>
    </row>
    <row r="11" spans="1:8">
      <c r="A11" s="19" t="s">
        <v>36</v>
      </c>
      <c r="B11" s="15">
        <v>0.0025</v>
      </c>
      <c r="F11" t="s">
        <v>38</v>
      </c>
      <c r="G11">
        <f t="shared" si="0"/>
        <v>0.04</v>
      </c>
      <c r="H11" s="16">
        <f t="shared" si="1"/>
        <v>0.04</v>
      </c>
    </row>
    <row r="12" spans="1:8">
      <c r="A12" s="11" t="s">
        <v>58</v>
      </c>
      <c r="B12" s="15">
        <v>0.0029</v>
      </c>
      <c r="F12" t="s">
        <v>39</v>
      </c>
      <c r="G12">
        <f t="shared" si="0"/>
        <v>0.08</v>
      </c>
      <c r="H12" s="16">
        <f t="shared" si="1"/>
        <v>0.08</v>
      </c>
    </row>
    <row r="13" spans="1:8">
      <c r="A13" s="11" t="s">
        <v>61</v>
      </c>
      <c r="B13" s="15">
        <v>0.0012</v>
      </c>
      <c r="F13" t="s">
        <v>40</v>
      </c>
      <c r="G13">
        <f t="shared" si="0"/>
        <v>0.007</v>
      </c>
      <c r="H13" s="16">
        <f t="shared" si="1"/>
        <v>0.007</v>
      </c>
    </row>
    <row r="14" spans="1:8">
      <c r="A14" s="11" t="s">
        <v>53</v>
      </c>
      <c r="B14" s="15">
        <v>0.0011</v>
      </c>
      <c r="F14" t="s">
        <v>46</v>
      </c>
      <c r="G14">
        <f t="shared" si="0"/>
        <v>0.02</v>
      </c>
      <c r="H14" s="16">
        <f t="shared" si="1"/>
        <v>0.02</v>
      </c>
    </row>
    <row r="15" spans="1:8">
      <c r="A15" s="11" t="s">
        <v>32</v>
      </c>
      <c r="B15" s="15">
        <v>0.0011</v>
      </c>
      <c r="F15" t="s">
        <v>47</v>
      </c>
      <c r="G15">
        <f t="shared" si="0"/>
        <v>0.0075</v>
      </c>
      <c r="H15" s="16">
        <f t="shared" si="1"/>
        <v>0.0075</v>
      </c>
    </row>
    <row r="16" spans="1:8">
      <c r="A16" s="11" t="s">
        <v>57</v>
      </c>
      <c r="B16" s="15">
        <v>0.0021</v>
      </c>
      <c r="F16" t="s">
        <v>48</v>
      </c>
      <c r="G16">
        <f t="shared" si="0"/>
        <v>0.01</v>
      </c>
      <c r="H16" s="16">
        <f t="shared" si="1"/>
        <v>0.01</v>
      </c>
    </row>
    <row r="17" spans="1:8">
      <c r="A17" s="11" t="s">
        <v>65</v>
      </c>
      <c r="B17" s="15">
        <v>0.0032</v>
      </c>
      <c r="F17" t="s">
        <v>49</v>
      </c>
      <c r="G17">
        <f t="shared" si="0"/>
        <v>0.0058</v>
      </c>
      <c r="H17" s="16">
        <f t="shared" si="1"/>
        <v>0.0058</v>
      </c>
    </row>
    <row r="18" spans="1:8">
      <c r="A18" s="11" t="s">
        <v>54</v>
      </c>
      <c r="B18" s="15">
        <v>0.004</v>
      </c>
      <c r="F18" t="s">
        <v>50</v>
      </c>
      <c r="G18">
        <f t="shared" si="0"/>
        <v>0.02</v>
      </c>
      <c r="H18" s="16">
        <f t="shared" si="1"/>
        <v>0.02</v>
      </c>
    </row>
    <row r="19" spans="1:8">
      <c r="A19" s="11" t="s">
        <v>64</v>
      </c>
      <c r="B19" s="15">
        <v>0.0024</v>
      </c>
      <c r="F19" t="s">
        <v>51</v>
      </c>
      <c r="G19">
        <f t="shared" si="0"/>
        <v>0.0059</v>
      </c>
      <c r="H19" s="16">
        <f t="shared" si="1"/>
        <v>0.0059</v>
      </c>
    </row>
    <row r="20" spans="1:8">
      <c r="A20" s="11" t="s">
        <v>63</v>
      </c>
      <c r="B20" s="15">
        <v>0.0003</v>
      </c>
      <c r="F20" t="s">
        <v>52</v>
      </c>
      <c r="G20">
        <f t="shared" si="0"/>
        <v>0.2</v>
      </c>
      <c r="H20" s="16">
        <f t="shared" si="1"/>
        <v>0.2</v>
      </c>
    </row>
    <row r="21" spans="1:8">
      <c r="A21" s="11" t="s">
        <v>59</v>
      </c>
      <c r="B21" s="15">
        <v>0.002</v>
      </c>
      <c r="F21" t="s">
        <v>53</v>
      </c>
      <c r="G21">
        <f t="shared" si="0"/>
        <v>0.0011</v>
      </c>
      <c r="H21" s="16">
        <f t="shared" si="1"/>
        <v>0.0011</v>
      </c>
    </row>
    <row r="22" ht="16.5" spans="1:8">
      <c r="A22" s="20" t="s">
        <v>62</v>
      </c>
      <c r="B22" s="21">
        <v>0.0072</v>
      </c>
      <c r="F22" t="s">
        <v>54</v>
      </c>
      <c r="G22">
        <f t="shared" si="0"/>
        <v>0.004</v>
      </c>
      <c r="H22" s="16">
        <f t="shared" si="1"/>
        <v>0.004</v>
      </c>
    </row>
    <row r="23" spans="1:8">
      <c r="A23" s="11" t="s">
        <v>38</v>
      </c>
      <c r="B23" s="18">
        <v>0.04</v>
      </c>
      <c r="F23" t="s">
        <v>55</v>
      </c>
      <c r="G23">
        <f t="shared" si="0"/>
        <v>0.0037</v>
      </c>
      <c r="H23" s="16">
        <f t="shared" si="1"/>
        <v>0.0037</v>
      </c>
    </row>
    <row r="24" spans="1:8">
      <c r="A24" s="11" t="s">
        <v>39</v>
      </c>
      <c r="B24" s="18">
        <v>0.08</v>
      </c>
      <c r="F24" t="s">
        <v>56</v>
      </c>
      <c r="G24">
        <f t="shared" si="0"/>
        <v>0.05</v>
      </c>
      <c r="H24" s="16">
        <f t="shared" si="1"/>
        <v>0.05</v>
      </c>
    </row>
    <row r="25" spans="1:8">
      <c r="A25" s="11" t="s">
        <v>48</v>
      </c>
      <c r="B25" s="18">
        <v>0.01</v>
      </c>
      <c r="F25" t="s">
        <v>57</v>
      </c>
      <c r="G25">
        <f t="shared" si="0"/>
        <v>0.0021</v>
      </c>
      <c r="H25" s="16">
        <f t="shared" si="1"/>
        <v>0.0021</v>
      </c>
    </row>
    <row r="26" spans="1:8">
      <c r="A26" s="11" t="s">
        <v>51</v>
      </c>
      <c r="B26" s="15">
        <v>0.0059</v>
      </c>
      <c r="F26" t="s">
        <v>58</v>
      </c>
      <c r="G26">
        <f t="shared" si="0"/>
        <v>0.0029</v>
      </c>
      <c r="H26" s="16">
        <f t="shared" si="1"/>
        <v>0.0029</v>
      </c>
    </row>
    <row r="27" spans="1:8">
      <c r="A27" s="11" t="s">
        <v>52</v>
      </c>
      <c r="B27" s="18">
        <v>0.2</v>
      </c>
      <c r="F27" t="s">
        <v>59</v>
      </c>
      <c r="G27">
        <f t="shared" si="0"/>
        <v>0.002</v>
      </c>
      <c r="H27" s="16">
        <f t="shared" si="1"/>
        <v>0.002</v>
      </c>
    </row>
    <row r="28" spans="1:8">
      <c r="A28" s="11" t="s">
        <v>46</v>
      </c>
      <c r="B28" s="18">
        <v>0.02</v>
      </c>
      <c r="F28" t="s">
        <v>60</v>
      </c>
      <c r="G28">
        <f t="shared" si="0"/>
        <v>0.0085</v>
      </c>
      <c r="H28" s="16">
        <f t="shared" si="1"/>
        <v>0.0085</v>
      </c>
    </row>
    <row r="29" spans="1:8">
      <c r="A29" s="11" t="s">
        <v>40</v>
      </c>
      <c r="B29" s="15">
        <v>0.007</v>
      </c>
      <c r="F29" t="s">
        <v>61</v>
      </c>
      <c r="G29">
        <f t="shared" si="0"/>
        <v>0.0012</v>
      </c>
      <c r="H29" s="16">
        <f t="shared" si="1"/>
        <v>0.0012</v>
      </c>
    </row>
    <row r="30" ht="16.5" spans="1:8">
      <c r="A30" s="11" t="s">
        <v>28</v>
      </c>
      <c r="B30" s="15">
        <v>0.005</v>
      </c>
      <c r="F30" s="22" t="s">
        <v>62</v>
      </c>
      <c r="G30">
        <f t="shared" si="0"/>
        <v>0.0072</v>
      </c>
      <c r="H30" s="16">
        <f t="shared" si="1"/>
        <v>0.0072</v>
      </c>
    </row>
    <row r="31" spans="1:8">
      <c r="A31" s="11" t="s">
        <v>50</v>
      </c>
      <c r="B31" s="18">
        <v>0.02</v>
      </c>
      <c r="F31" t="s">
        <v>63</v>
      </c>
      <c r="G31">
        <f t="shared" si="0"/>
        <v>0.0003</v>
      </c>
      <c r="H31" s="16">
        <f t="shared" si="1"/>
        <v>0.0003</v>
      </c>
    </row>
    <row r="32" spans="1:8">
      <c r="A32" s="11" t="s">
        <v>37</v>
      </c>
      <c r="B32" s="18">
        <v>0.16</v>
      </c>
      <c r="F32" t="s">
        <v>64</v>
      </c>
      <c r="G32">
        <f t="shared" si="0"/>
        <v>0.0024</v>
      </c>
      <c r="H32" s="16">
        <f t="shared" si="1"/>
        <v>0.0024</v>
      </c>
    </row>
    <row r="33" spans="1:8">
      <c r="A33" s="11" t="s">
        <v>56</v>
      </c>
      <c r="B33" s="18">
        <v>0.05</v>
      </c>
      <c r="F33" t="s">
        <v>65</v>
      </c>
      <c r="G33">
        <f t="shared" si="0"/>
        <v>0.0032</v>
      </c>
      <c r="H33" s="16">
        <f t="shared" si="1"/>
        <v>0.0032</v>
      </c>
    </row>
    <row r="34" spans="6:8">
      <c r="F34" t="s">
        <v>66</v>
      </c>
      <c r="G34" t="e">
        <f t="shared" si="0"/>
        <v>#N/A</v>
      </c>
      <c r="H34" s="16">
        <f t="shared" si="1"/>
        <v>0</v>
      </c>
    </row>
    <row r="35" spans="6:8">
      <c r="F35" t="s">
        <v>67</v>
      </c>
      <c r="G35" t="e">
        <f t="shared" si="0"/>
        <v>#N/A</v>
      </c>
      <c r="H35" s="16">
        <f t="shared" si="1"/>
        <v>0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34"/>
  <sheetViews>
    <sheetView topLeftCell="A13" workbookViewId="0">
      <selection activeCell="H26" sqref="H26"/>
    </sheetView>
  </sheetViews>
  <sheetFormatPr defaultColWidth="9.14285714285714" defaultRowHeight="12.75"/>
  <cols>
    <col min="7" max="7" width="5.28571428571429" customWidth="1"/>
  </cols>
  <sheetData>
    <row r="1" spans="1:2">
      <c r="A1">
        <v>0.31</v>
      </c>
      <c r="B1">
        <f>A1*100</f>
        <v>31</v>
      </c>
    </row>
    <row r="2" spans="1:2">
      <c r="A2">
        <v>0.0048</v>
      </c>
      <c r="B2">
        <f t="shared" ref="B2:B34" si="0">A2*100</f>
        <v>0.48</v>
      </c>
    </row>
    <row r="3" spans="1:2">
      <c r="A3">
        <v>0.005</v>
      </c>
      <c r="B3">
        <f t="shared" si="0"/>
        <v>0.5</v>
      </c>
    </row>
    <row r="4" spans="1:2">
      <c r="A4">
        <v>0.0047</v>
      </c>
      <c r="B4">
        <f t="shared" si="0"/>
        <v>0.47</v>
      </c>
    </row>
    <row r="5" spans="1:8">
      <c r="A5">
        <v>0.0011</v>
      </c>
      <c r="B5">
        <f t="shared" si="0"/>
        <v>0.11</v>
      </c>
      <c r="G5" s="1"/>
      <c r="H5" s="2" t="s">
        <v>72</v>
      </c>
    </row>
    <row r="6" spans="1:15">
      <c r="A6">
        <v>0.0042</v>
      </c>
      <c r="B6">
        <f t="shared" si="0"/>
        <v>0.42</v>
      </c>
      <c r="G6" s="3"/>
      <c r="H6" s="2" t="s">
        <v>73</v>
      </c>
      <c r="J6" s="1"/>
      <c r="K6" s="3"/>
      <c r="L6" s="4"/>
      <c r="M6" s="5"/>
      <c r="N6" s="6"/>
      <c r="O6" s="7"/>
    </row>
    <row r="7" spans="1:15">
      <c r="A7">
        <v>0.0095</v>
      </c>
      <c r="B7">
        <f t="shared" si="0"/>
        <v>0.95</v>
      </c>
      <c r="G7" s="4"/>
      <c r="H7" s="2" t="s">
        <v>74</v>
      </c>
      <c r="J7" s="8" t="str">
        <f>IF(AND(ISBLANK(J4),ISBLANK(K4)),"",CONCATENATE("[",TEXT(J4,numbers_format)," ,",IF(ISBLANK(K4),"",TEXT(K4,numbers_format)),")"))</f>
        <v/>
      </c>
      <c r="K7" s="8" t="str">
        <f>IF(AND(ISBLANK(K4),ISBLANK(L4)),"",CONCATENATE("[",TEXT(K4,numbers_format)," ,",IF(ISBLANK(L4),"",TEXT(L4,numbers_format)),")"))</f>
        <v/>
      </c>
      <c r="L7" s="8" t="str">
        <f>IF(AND(ISBLANK(L4),ISBLANK(M4)),"",CONCATENATE("[",TEXT(L4,numbers_format)," ,",IF(ISBLANK(M4),"",TEXT(M4,numbers_format)),")"))</f>
        <v/>
      </c>
      <c r="M7" s="8" t="str">
        <f>IF(AND(ISBLANK(M4),ISBLANK(N4)),"",CONCATENATE("[",TEXT(M4,numbers_format)," ,",IF(ISBLANK(N4),"",TEXT(N4,numbers_format)),")"))</f>
        <v/>
      </c>
      <c r="N7" s="8" t="str">
        <f>IF(AND(ISBLANK(N4),ISBLANK(O4)),"",CONCATENATE("[",TEXT(N4,numbers_format)," , ",IF(ISBLANK(O4),"",TEXT(O4,numbers_format))))</f>
        <v/>
      </c>
      <c r="O7" s="9"/>
    </row>
    <row r="8" spans="1:8">
      <c r="A8">
        <v>0.0025</v>
      </c>
      <c r="B8">
        <f t="shared" si="0"/>
        <v>0.25</v>
      </c>
      <c r="G8" s="5"/>
      <c r="H8" s="2" t="s">
        <v>75</v>
      </c>
    </row>
    <row r="9" spans="1:8">
      <c r="A9">
        <v>0.16</v>
      </c>
      <c r="B9">
        <f t="shared" si="0"/>
        <v>16</v>
      </c>
      <c r="G9" s="6"/>
      <c r="H9" s="2" t="s">
        <v>76</v>
      </c>
    </row>
    <row r="10" spans="1:8">
      <c r="A10">
        <v>0.04</v>
      </c>
      <c r="B10">
        <f t="shared" si="0"/>
        <v>4</v>
      </c>
      <c r="G10" s="2"/>
      <c r="H10" s="2"/>
    </row>
    <row r="11" spans="1:2">
      <c r="A11">
        <v>0.08</v>
      </c>
      <c r="B11">
        <f t="shared" si="0"/>
        <v>8</v>
      </c>
    </row>
    <row r="12" spans="1:2">
      <c r="A12">
        <v>0.007</v>
      </c>
      <c r="B12">
        <f t="shared" si="0"/>
        <v>0.7</v>
      </c>
    </row>
    <row r="13" spans="1:2">
      <c r="A13">
        <v>0.02</v>
      </c>
      <c r="B13">
        <f t="shared" si="0"/>
        <v>2</v>
      </c>
    </row>
    <row r="14" spans="1:2">
      <c r="A14">
        <v>0.0075</v>
      </c>
      <c r="B14">
        <f t="shared" si="0"/>
        <v>0.75</v>
      </c>
    </row>
    <row r="15" spans="1:2">
      <c r="A15">
        <v>0.01</v>
      </c>
      <c r="B15">
        <f t="shared" si="0"/>
        <v>1</v>
      </c>
    </row>
    <row r="16" spans="1:2">
      <c r="A16">
        <v>0.0058</v>
      </c>
      <c r="B16">
        <f t="shared" si="0"/>
        <v>0.58</v>
      </c>
    </row>
    <row r="17" spans="1:2">
      <c r="A17">
        <v>0.02</v>
      </c>
      <c r="B17">
        <f t="shared" si="0"/>
        <v>2</v>
      </c>
    </row>
    <row r="18" spans="1:2">
      <c r="A18">
        <v>0.0059</v>
      </c>
      <c r="B18">
        <f t="shared" si="0"/>
        <v>0.59</v>
      </c>
    </row>
    <row r="19" spans="1:2">
      <c r="A19">
        <v>0.2</v>
      </c>
      <c r="B19">
        <f t="shared" si="0"/>
        <v>20</v>
      </c>
    </row>
    <row r="20" spans="1:2">
      <c r="A20">
        <v>0.0011</v>
      </c>
      <c r="B20">
        <f t="shared" si="0"/>
        <v>0.11</v>
      </c>
    </row>
    <row r="21" spans="1:2">
      <c r="A21">
        <v>0.004</v>
      </c>
      <c r="B21">
        <f t="shared" si="0"/>
        <v>0.4</v>
      </c>
    </row>
    <row r="22" spans="1:2">
      <c r="A22">
        <v>0.0037</v>
      </c>
      <c r="B22">
        <f t="shared" si="0"/>
        <v>0.37</v>
      </c>
    </row>
    <row r="23" spans="1:2">
      <c r="A23">
        <v>0.05</v>
      </c>
      <c r="B23">
        <f t="shared" si="0"/>
        <v>5</v>
      </c>
    </row>
    <row r="24" spans="1:2">
      <c r="A24">
        <v>0.0021</v>
      </c>
      <c r="B24">
        <f t="shared" si="0"/>
        <v>0.21</v>
      </c>
    </row>
    <row r="25" spans="1:2">
      <c r="A25">
        <v>0.0029</v>
      </c>
      <c r="B25">
        <f t="shared" si="0"/>
        <v>0.29</v>
      </c>
    </row>
    <row r="26" spans="1:2">
      <c r="A26">
        <v>0.002</v>
      </c>
      <c r="B26">
        <f t="shared" si="0"/>
        <v>0.2</v>
      </c>
    </row>
    <row r="27" spans="1:2">
      <c r="A27">
        <v>0.0085</v>
      </c>
      <c r="B27">
        <f t="shared" si="0"/>
        <v>0.85</v>
      </c>
    </row>
    <row r="28" spans="1:2">
      <c r="A28">
        <v>0.0012</v>
      </c>
      <c r="B28">
        <f t="shared" si="0"/>
        <v>0.12</v>
      </c>
    </row>
    <row r="29" spans="1:2">
      <c r="A29">
        <v>0.0072</v>
      </c>
      <c r="B29">
        <f t="shared" si="0"/>
        <v>0.72</v>
      </c>
    </row>
    <row r="30" spans="1:2">
      <c r="A30">
        <v>0.0003</v>
      </c>
      <c r="B30">
        <f t="shared" si="0"/>
        <v>0.03</v>
      </c>
    </row>
    <row r="31" spans="1:2">
      <c r="A31">
        <v>0.0024</v>
      </c>
      <c r="B31">
        <f t="shared" si="0"/>
        <v>0.24</v>
      </c>
    </row>
    <row r="32" spans="1:2">
      <c r="A32">
        <v>0.0032</v>
      </c>
      <c r="B32">
        <f t="shared" si="0"/>
        <v>0.32</v>
      </c>
    </row>
    <row r="33" spans="1:2">
      <c r="A33">
        <v>0</v>
      </c>
      <c r="B33">
        <f t="shared" si="0"/>
        <v>0</v>
      </c>
    </row>
    <row r="34" spans="1:2">
      <c r="A34">
        <v>0</v>
      </c>
      <c r="B34">
        <f t="shared" si="0"/>
        <v>0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map</vt:lpstr>
      <vt:lpstr>数据实例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春风化雨</cp:lastModifiedBy>
  <dcterms:created xsi:type="dcterms:W3CDTF">2017-08-18T07:52:00Z</dcterms:created>
  <dcterms:modified xsi:type="dcterms:W3CDTF">2021-11-27T17:24:57Z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2052-11.1.0.11115</vt:lpwstr>
  </property>
  <property fmtid="{D5CDD505-2E9C-101B-9397-08002B2CF9AE}" pid="3" name="ICV">
    <vt:lpwstr>23FB9A5CD9814499B27F89490F65C115</vt:lpwstr>
  </property>
</Properties>
</file>